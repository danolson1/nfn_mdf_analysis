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303" yWindow="-6488" windowWidth="28995" windowHeight="17476" tabRatio="600" firstSheet="0" activeTab="0" autoFilterDateGrouping="1"/>
  </bookViews>
  <sheets>
    <sheet name="Reaction" sheetId="1" state="visible" r:id="rId1"/>
    <sheet name="Compound" sheetId="2" state="visible" r:id="rId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8">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rgb="FFCCCCFF"/>
        <bgColor indexed="64"/>
      </patternFill>
    </fill>
    <fill>
      <patternFill patternType="solid">
        <fgColor theme="5" tint="0.7999816888943144"/>
        <bgColor indexed="64"/>
      </patternFill>
    </fill>
    <fill>
      <patternFill patternType="solid">
        <fgColor theme="6" tint="0.7999816888943144"/>
        <bgColor indexed="64"/>
      </patternFill>
    </fill>
  </fills>
  <borders count="2">
    <border>
      <left/>
      <right/>
      <top/>
      <bottom/>
      <diagonal/>
    </border>
    <border>
      <left/>
      <right/>
      <top/>
      <bottom style="thin">
        <color indexed="64"/>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horizontal="center"/>
    </xf>
    <xf numFmtId="0" fontId="1" fillId="0" borderId="1"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textRotation="90"/>
    </xf>
    <xf numFmtId="0" fontId="1" fillId="7" borderId="0" applyAlignment="1" pivotButton="0" quotePrefix="0" xfId="0">
      <alignment textRotation="90"/>
    </xf>
    <xf numFmtId="0" fontId="0" fillId="7" borderId="0" pivotButton="0" quotePrefix="0" xfId="0"/>
    <xf numFmtId="0" fontId="1" fillId="0" borderId="1" applyAlignment="1" pivotButton="0" quotePrefix="0" xfId="0">
      <alignment horizontal="center" textRotation="90"/>
    </xf>
    <xf numFmtId="0" fontId="0" fillId="0" borderId="0" applyAlignment="1" pivotButton="0" quotePrefix="0" xfId="0">
      <alignment wrapText="1"/>
    </xf>
    <xf numFmtId="0" fontId="0" fillId="0" borderId="0" applyAlignment="1" pivotButton="0" quotePrefix="0" xfId="0">
      <alignment textRotation="90" wrapText="1"/>
    </xf>
    <xf numFmtId="0" fontId="0" fillId="0" borderId="0" applyAlignment="1" pivotButton="0" quotePrefix="0" xfId="0">
      <alignment horizontal="center" textRotation="90" wrapText="1"/>
    </xf>
    <xf numFmtId="0" fontId="0" fillId="0" borderId="0" applyAlignment="1" pivotButton="0" quotePrefix="0" xfId="0">
      <alignment horizontal="right"/>
    </xf>
    <xf numFmtId="0" fontId="1" fillId="0" borderId="0" applyAlignment="1" pivotButton="0" quotePrefix="0" xfId="0">
      <alignment horizontal="right"/>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M37"/>
  <sheetViews>
    <sheetView tabSelected="1" zoomScale="80" zoomScaleNormal="80" workbookViewId="0">
      <pane xSplit="4" ySplit="5" topLeftCell="E6" activePane="bottomRight" state="frozen"/>
      <selection pane="topRight" activeCell="E1" sqref="E1"/>
      <selection pane="bottomLeft" activeCell="A4" sqref="A4"/>
      <selection pane="bottomRight" activeCell="M11" sqref="M11"/>
    </sheetView>
  </sheetViews>
  <sheetFormatPr baseColWidth="8" defaultRowHeight="14.4"/>
  <cols>
    <col width="29.88671875" customWidth="1" min="1" max="1"/>
    <col width="15.88671875" bestFit="1" customWidth="1" min="2" max="2"/>
    <col width="10.109375" customWidth="1" min="3" max="3"/>
    <col width="55.77734375" bestFit="1" customWidth="1" min="4" max="4"/>
    <col width="5.21875" customWidth="1" style="1" min="5" max="5"/>
    <col width="4.109375" customWidth="1" min="6" max="34"/>
    <col width="10.88671875" customWidth="1" min="35" max="35"/>
    <col width="7.44140625" customWidth="1" min="36" max="46"/>
    <col width="7.44140625" customWidth="1" style="1" min="47" max="50"/>
    <col width="6.77734375" customWidth="1" style="1" min="51" max="58"/>
    <col width="6.77734375" customWidth="1" min="59" max="61"/>
  </cols>
  <sheetData>
    <row r="1">
      <c r="A1" t="inlineStr">
        <is>
          <t>info</t>
        </is>
      </c>
      <c r="C1" t="inlineStr">
        <is>
          <t>rxn</t>
        </is>
      </c>
      <c r="D1" s="16" t="n"/>
      <c r="E1" s="1" t="inlineStr">
        <is>
          <t>stoich</t>
        </is>
      </c>
      <c r="AI1" t="inlineStr">
        <is>
          <t>flux</t>
        </is>
      </c>
      <c r="AK1" s="1" t="n"/>
      <c r="AL1" s="1" t="n"/>
      <c r="AR1" s="1" t="n"/>
      <c r="AT1" s="1" t="n"/>
    </row>
    <row r="2">
      <c r="D2" s="16" t="inlineStr">
        <is>
          <t>Mode ID</t>
        </is>
      </c>
      <c r="AI2" t="inlineStr">
        <is>
          <t>Mode ID</t>
        </is>
      </c>
      <c r="AJ2" s="1" t="n">
        <v>4</v>
      </c>
      <c r="AK2" s="1" t="n">
        <v>11</v>
      </c>
      <c r="AL2" s="1" t="n">
        <v>9</v>
      </c>
      <c r="AM2" s="1" t="n">
        <v>2</v>
      </c>
      <c r="AN2" s="1" t="n">
        <v>3</v>
      </c>
      <c r="AO2" s="1" t="n">
        <v>15</v>
      </c>
      <c r="AP2" s="1" t="n">
        <v>7</v>
      </c>
      <c r="AQ2" s="1" t="n">
        <v>6</v>
      </c>
      <c r="AR2" s="1" t="n">
        <v>10</v>
      </c>
      <c r="AS2" s="1" t="n">
        <v>8</v>
      </c>
      <c r="AT2" s="1" t="n">
        <v>12</v>
      </c>
      <c r="AU2" s="1" t="n">
        <v>13</v>
      </c>
      <c r="AV2" s="1" t="n">
        <v>5</v>
      </c>
      <c r="AW2" s="1" t="n">
        <v>1</v>
      </c>
      <c r="AX2" s="1" t="n">
        <v>14</v>
      </c>
    </row>
    <row r="3">
      <c r="D3" s="16" t="inlineStr">
        <is>
          <t>ATP yield</t>
        </is>
      </c>
      <c r="AI3" t="inlineStr">
        <is>
          <t>ATP yield</t>
        </is>
      </c>
      <c r="AJ3" s="1" t="n">
        <v>2</v>
      </c>
      <c r="AK3" s="1" t="n">
        <v>2</v>
      </c>
      <c r="AL3" s="1" t="n">
        <v>2</v>
      </c>
      <c r="AM3" s="1" t="n">
        <v>2</v>
      </c>
      <c r="AN3" s="1" t="n">
        <v>2</v>
      </c>
      <c r="AO3" s="1" t="n">
        <v>2</v>
      </c>
      <c r="AP3" s="1" t="n">
        <v>2</v>
      </c>
      <c r="AQ3" s="1" t="n">
        <v>3</v>
      </c>
      <c r="AR3" s="1" t="n">
        <v>2</v>
      </c>
      <c r="AS3" s="1" t="n">
        <v>2</v>
      </c>
      <c r="AT3" s="1" t="n">
        <v>2</v>
      </c>
      <c r="AU3" s="1" t="n">
        <v>2</v>
      </c>
      <c r="AV3" s="1" t="n">
        <v>3</v>
      </c>
      <c r="AW3" s="1" t="n">
        <v>2</v>
      </c>
      <c r="AX3" s="1" t="n">
        <v>2</v>
      </c>
    </row>
    <row r="4">
      <c r="D4" s="16" t="inlineStr">
        <is>
          <t>MDF</t>
        </is>
      </c>
      <c r="AI4" t="inlineStr">
        <is>
          <t>MDF</t>
        </is>
      </c>
      <c r="AJ4" s="1" t="n">
        <v>7.26</v>
      </c>
      <c r="AK4" s="1" t="n">
        <v>7.24</v>
      </c>
      <c r="AL4" s="1" t="n">
        <v>7.22</v>
      </c>
      <c r="AM4" s="1" t="n">
        <v>4.8</v>
      </c>
      <c r="AN4" s="1" t="n">
        <v>4.79</v>
      </c>
      <c r="AO4" s="1" t="n">
        <v>4.08</v>
      </c>
      <c r="AP4" s="1" t="n">
        <v>3.25</v>
      </c>
      <c r="AQ4" s="1" t="n">
        <v>2.97</v>
      </c>
      <c r="AR4" s="1" t="n">
        <v>2.59</v>
      </c>
      <c r="AS4" s="1" t="n">
        <v>2.46</v>
      </c>
      <c r="AT4" s="1" t="n">
        <v>2.12</v>
      </c>
      <c r="AU4" s="1" t="n">
        <v>2.16</v>
      </c>
      <c r="AV4" s="1" t="n">
        <v>2.16</v>
      </c>
      <c r="AW4" s="1" t="n">
        <v>2.2</v>
      </c>
      <c r="AX4" s="1" t="n">
        <v>1.88</v>
      </c>
    </row>
    <row r="5" ht="124.95" customHeight="1">
      <c r="A5" s="3" t="inlineStr">
        <is>
          <t>Gene</t>
        </is>
      </c>
      <c r="B5" s="3" t="inlineStr">
        <is>
          <t>Sub-pathway</t>
        </is>
      </c>
      <c r="C5" s="2" t="inlineStr">
        <is>
          <t>ReactionID</t>
        </is>
      </c>
      <c r="D5" s="2" t="inlineStr">
        <is>
          <t>ReactionFormula</t>
        </is>
      </c>
      <c r="E5" s="12" t="inlineStr">
        <is>
          <t>Flux</t>
        </is>
      </c>
      <c r="F5" s="9" t="inlineStr">
        <is>
          <t>glc</t>
        </is>
      </c>
      <c r="G5" s="9" t="inlineStr">
        <is>
          <t>etoh</t>
        </is>
      </c>
      <c r="H5" s="9" t="inlineStr">
        <is>
          <t>co2</t>
        </is>
      </c>
      <c r="I5" s="9" t="inlineStr">
        <is>
          <t>h2o</t>
        </is>
      </c>
      <c r="J5" s="9" t="inlineStr">
        <is>
          <t>atp</t>
        </is>
      </c>
      <c r="K5" s="9" t="inlineStr">
        <is>
          <t>adp</t>
        </is>
      </c>
      <c r="L5" s="9" t="inlineStr">
        <is>
          <t>pi</t>
        </is>
      </c>
      <c r="M5" s="10" t="inlineStr">
        <is>
          <t>nad</t>
        </is>
      </c>
      <c r="N5" s="10" t="inlineStr">
        <is>
          <t>nadh</t>
        </is>
      </c>
      <c r="O5" s="10" t="inlineStr">
        <is>
          <t>nadp</t>
        </is>
      </c>
      <c r="P5" s="10" t="inlineStr">
        <is>
          <t>nadph</t>
        </is>
      </c>
      <c r="Q5" s="10" t="inlineStr">
        <is>
          <t>fdox</t>
        </is>
      </c>
      <c r="R5" s="10" t="inlineStr">
        <is>
          <t>fdred</t>
        </is>
      </c>
      <c r="S5" s="10" t="inlineStr">
        <is>
          <t>coa</t>
        </is>
      </c>
      <c r="T5" s="10" t="inlineStr">
        <is>
          <t>accoa</t>
        </is>
      </c>
      <c r="U5" s="10" t="inlineStr">
        <is>
          <t>g6p</t>
        </is>
      </c>
      <c r="V5" s="10" t="inlineStr">
        <is>
          <t>f6p</t>
        </is>
      </c>
      <c r="W5" s="10" t="inlineStr">
        <is>
          <t>fbp</t>
        </is>
      </c>
      <c r="X5" s="10" t="inlineStr">
        <is>
          <t>dhap</t>
        </is>
      </c>
      <c r="Y5" s="10" t="inlineStr">
        <is>
          <t>g3p</t>
        </is>
      </c>
      <c r="Z5" s="10" t="inlineStr">
        <is>
          <t>bpg</t>
        </is>
      </c>
      <c r="AA5" s="10" t="inlineStr">
        <is>
          <t>3pg</t>
        </is>
      </c>
      <c r="AB5" s="10" t="inlineStr">
        <is>
          <t>2pg</t>
        </is>
      </c>
      <c r="AC5" s="10" t="inlineStr">
        <is>
          <t>pep</t>
        </is>
      </c>
      <c r="AD5" s="10" t="inlineStr">
        <is>
          <t>oaa</t>
        </is>
      </c>
      <c r="AE5" s="10" t="inlineStr">
        <is>
          <t>pyr</t>
        </is>
      </c>
      <c r="AF5" s="10" t="inlineStr">
        <is>
          <t>mal</t>
        </is>
      </c>
      <c r="AG5" s="10" t="inlineStr">
        <is>
          <t>acald</t>
        </is>
      </c>
      <c r="AH5" s="10" t="inlineStr">
        <is>
          <t>h2</t>
        </is>
      </c>
      <c r="AI5" s="10" t="inlineStr">
        <is>
          <t>ID</t>
        </is>
      </c>
      <c r="AJ5" s="15" t="inlineStr">
        <is>
          <t>NFN-only pathway with engineered AdhE</t>
        </is>
      </c>
      <c r="AK5" s="15" t="inlineStr">
        <is>
          <t>Tsac NADPH substrate-channeling</t>
        </is>
      </c>
      <c r="AL5" s="15" t="inlineStr">
        <is>
          <t>Tsac fd adh</t>
        </is>
      </c>
      <c r="AM5" s="15" t="inlineStr">
        <is>
          <t>Tsac NADH+NADPH ethanologen</t>
        </is>
      </c>
      <c r="AN5" s="15" t="inlineStr">
        <is>
          <t>Tsac NADH+NADPH ethanologen fnorp</t>
        </is>
      </c>
      <c r="AO5" s="15" t="inlineStr">
        <is>
          <t>Cth malate shunt FNORp adhp</t>
        </is>
      </c>
      <c r="AP5" s="15" t="inlineStr">
        <is>
          <t>PDC ethanol pathway</t>
        </is>
      </c>
      <c r="AQ5" s="15" t="inlineStr">
        <is>
          <t>Cth malate shunt adhp</t>
        </is>
      </c>
      <c r="AR5" s="15" t="inlineStr">
        <is>
          <t>Tsac NADH substrate-channeling</t>
        </is>
      </c>
      <c r="AS5" s="15" t="inlineStr">
        <is>
          <t>PDC Xhyd ethanol pathway</t>
        </is>
      </c>
      <c r="AT5" s="15" t="inlineStr">
        <is>
          <t>PDH ethanol pathway</t>
        </is>
      </c>
      <c r="AU5" s="14" t="inlineStr">
        <is>
          <t>PFOR FNOR ethanol pathway</t>
        </is>
      </c>
      <c r="AV5" s="15" t="inlineStr">
        <is>
          <t>Cth ethanologen WT adhE</t>
        </is>
      </c>
      <c r="AW5" s="15" t="inlineStr">
        <is>
          <t>Tsac NADH ethanologen</t>
        </is>
      </c>
      <c r="AX5" s="15" t="inlineStr">
        <is>
          <t>PFOR FNOR Xhyd pathway</t>
        </is>
      </c>
      <c r="BJ5" s="13" t="n"/>
      <c r="BK5" s="13" t="n"/>
      <c r="BL5" s="13" t="n"/>
      <c r="BM5" s="13" t="n"/>
    </row>
    <row r="6">
      <c r="B6" s="4" t="inlineStr">
        <is>
          <t>glycolysis</t>
        </is>
      </c>
      <c r="C6" s="4" t="inlineStr">
        <is>
          <t>glk</t>
        </is>
      </c>
      <c r="D6" s="4" t="inlineStr">
        <is>
          <t>glc + atp &lt;=&gt; g6p + adp</t>
        </is>
      </c>
      <c r="E6" s="1" t="n">
        <v>1</v>
      </c>
      <c r="F6" s="4" t="n">
        <v>-1</v>
      </c>
      <c r="G6" s="4" t="n"/>
      <c r="H6" s="4" t="n"/>
      <c r="I6" s="4" t="n"/>
      <c r="J6" s="4" t="n">
        <v>-1</v>
      </c>
      <c r="K6" s="4" t="n">
        <v>1</v>
      </c>
      <c r="L6" s="4" t="n"/>
      <c r="M6" s="11" t="n"/>
      <c r="N6" s="11" t="n"/>
      <c r="O6" s="11" t="n"/>
      <c r="P6" s="11" t="n"/>
      <c r="Q6" s="11" t="n"/>
      <c r="R6" s="11" t="n"/>
      <c r="S6" s="11" t="n"/>
      <c r="T6" s="11" t="n"/>
      <c r="U6" s="11" t="n">
        <v>1</v>
      </c>
      <c r="V6" s="11" t="n"/>
      <c r="W6" s="11" t="n"/>
      <c r="X6" s="11" t="n"/>
      <c r="Y6" s="11" t="n"/>
      <c r="Z6" s="11" t="n"/>
      <c r="AA6" s="11" t="n"/>
      <c r="AB6" s="11" t="n"/>
      <c r="AC6" s="11" t="n"/>
      <c r="AD6" s="11" t="n"/>
      <c r="AE6" s="11" t="n"/>
      <c r="AF6" s="11" t="n"/>
      <c r="AG6" s="11" t="n"/>
      <c r="AH6" s="11" t="n"/>
      <c r="AI6" s="16">
        <f>C6</f>
        <v/>
      </c>
      <c r="AJ6" s="1" t="n">
        <v>1</v>
      </c>
      <c r="AK6" s="1" t="n">
        <v>1</v>
      </c>
      <c r="AL6" s="1" t="n">
        <v>1</v>
      </c>
      <c r="AM6" s="1" t="n">
        <v>1</v>
      </c>
      <c r="AN6" s="1" t="n">
        <v>1</v>
      </c>
      <c r="AO6" s="1" t="n">
        <v>1</v>
      </c>
      <c r="AP6" s="1" t="n">
        <v>1</v>
      </c>
      <c r="AQ6" s="1" t="n">
        <v>1</v>
      </c>
      <c r="AR6" s="1" t="n">
        <v>1</v>
      </c>
      <c r="AS6" s="1" t="n">
        <v>1</v>
      </c>
      <c r="AT6" s="1" t="n">
        <v>1</v>
      </c>
      <c r="AU6" s="1" t="n">
        <v>1</v>
      </c>
      <c r="AV6" s="1" t="n">
        <v>1</v>
      </c>
      <c r="AW6" s="1" t="n">
        <v>1</v>
      </c>
      <c r="AX6" s="1" t="n">
        <v>1</v>
      </c>
    </row>
    <row r="7">
      <c r="B7" s="4" t="inlineStr">
        <is>
          <t>glycolysis</t>
        </is>
      </c>
      <c r="C7" s="4" t="inlineStr">
        <is>
          <t>pgi</t>
        </is>
      </c>
      <c r="D7" s="4" t="inlineStr">
        <is>
          <t>g6p &lt;=&gt; f6p</t>
        </is>
      </c>
      <c r="E7" s="1" t="n">
        <v>1</v>
      </c>
      <c r="F7" s="4" t="n"/>
      <c r="G7" s="4" t="n"/>
      <c r="H7" s="4" t="n"/>
      <c r="I7" s="4" t="n"/>
      <c r="J7" s="4" t="n"/>
      <c r="K7" s="4" t="n"/>
      <c r="L7" s="4" t="n"/>
      <c r="M7" s="11" t="n"/>
      <c r="N7" s="11" t="n"/>
      <c r="O7" s="11" t="n"/>
      <c r="P7" s="11" t="n"/>
      <c r="Q7" s="11" t="n"/>
      <c r="R7" s="11" t="n"/>
      <c r="S7" s="11" t="n"/>
      <c r="T7" s="11" t="n"/>
      <c r="U7" s="11" t="n">
        <v>-1</v>
      </c>
      <c r="V7" s="11" t="n">
        <v>1</v>
      </c>
      <c r="W7" s="11" t="n"/>
      <c r="X7" s="11" t="n"/>
      <c r="Y7" s="11" t="n"/>
      <c r="Z7" s="11" t="n"/>
      <c r="AA7" s="11" t="n"/>
      <c r="AB7" s="11" t="n"/>
      <c r="AC7" s="11" t="n"/>
      <c r="AD7" s="11" t="n"/>
      <c r="AE7" s="11" t="n"/>
      <c r="AF7" s="11" t="n"/>
      <c r="AG7" s="11" t="n"/>
      <c r="AH7" s="11" t="n"/>
      <c r="AI7" s="16">
        <f>C7</f>
        <v/>
      </c>
      <c r="AJ7" s="1" t="n">
        <v>1</v>
      </c>
      <c r="AK7" s="1" t="n">
        <v>1</v>
      </c>
      <c r="AL7" s="1" t="n">
        <v>1</v>
      </c>
      <c r="AM7" s="1" t="n">
        <v>1</v>
      </c>
      <c r="AN7" s="1" t="n">
        <v>1</v>
      </c>
      <c r="AO7" s="1" t="n">
        <v>1</v>
      </c>
      <c r="AP7" s="1" t="n">
        <v>1</v>
      </c>
      <c r="AQ7" s="1" t="n">
        <v>1</v>
      </c>
      <c r="AR7" s="1" t="n">
        <v>1</v>
      </c>
      <c r="AS7" s="1" t="n">
        <v>1</v>
      </c>
      <c r="AT7" s="1" t="n">
        <v>1</v>
      </c>
      <c r="AU7" s="1" t="n">
        <v>1</v>
      </c>
      <c r="AV7" s="1" t="n">
        <v>1</v>
      </c>
      <c r="AW7" s="1" t="n">
        <v>1</v>
      </c>
      <c r="AX7" s="1" t="n">
        <v>1</v>
      </c>
    </row>
    <row r="8">
      <c r="B8" s="4" t="inlineStr">
        <is>
          <t>glycolysis</t>
        </is>
      </c>
      <c r="C8" s="4" t="inlineStr">
        <is>
          <t>pfk</t>
        </is>
      </c>
      <c r="D8" s="4" t="inlineStr">
        <is>
          <t>atp + f6p &lt;=&gt; adp + fbp</t>
        </is>
      </c>
      <c r="E8" s="1" t="n">
        <v>1</v>
      </c>
      <c r="F8" s="4" t="n"/>
      <c r="G8" s="4" t="n"/>
      <c r="H8" s="4" t="n"/>
      <c r="I8" s="4" t="n"/>
      <c r="J8" s="4" t="n">
        <v>-1</v>
      </c>
      <c r="K8" s="4" t="n">
        <v>1</v>
      </c>
      <c r="L8" s="4" t="n"/>
      <c r="M8" s="11" t="n"/>
      <c r="N8" s="11" t="n"/>
      <c r="O8" s="11" t="n"/>
      <c r="P8" s="11" t="n"/>
      <c r="Q8" s="11" t="n"/>
      <c r="R8" s="11" t="n"/>
      <c r="S8" s="11" t="n"/>
      <c r="T8" s="11" t="n"/>
      <c r="U8" s="11" t="n"/>
      <c r="V8" s="11" t="n">
        <v>-1</v>
      </c>
      <c r="W8" s="11" t="n">
        <v>1</v>
      </c>
      <c r="X8" s="11" t="n"/>
      <c r="Y8" s="11" t="n"/>
      <c r="Z8" s="11" t="n"/>
      <c r="AA8" s="11" t="n"/>
      <c r="AB8" s="11" t="n"/>
      <c r="AC8" s="11" t="n"/>
      <c r="AD8" s="11" t="n"/>
      <c r="AE8" s="11" t="n"/>
      <c r="AF8" s="11" t="n"/>
      <c r="AG8" s="11" t="n"/>
      <c r="AH8" s="11" t="n"/>
      <c r="AI8" s="16">
        <f>C8</f>
        <v/>
      </c>
      <c r="AJ8" s="1" t="n">
        <v>1</v>
      </c>
      <c r="AK8" s="1" t="n">
        <v>1</v>
      </c>
      <c r="AL8" s="1" t="n">
        <v>1</v>
      </c>
      <c r="AM8" s="1" t="n">
        <v>1</v>
      </c>
      <c r="AN8" s="1" t="n">
        <v>1</v>
      </c>
      <c r="AO8" s="1" t="n">
        <v>1</v>
      </c>
      <c r="AP8" s="1" t="n">
        <v>1</v>
      </c>
      <c r="AQ8" s="1" t="n">
        <v>1</v>
      </c>
      <c r="AR8" s="1" t="n">
        <v>1</v>
      </c>
      <c r="AS8" s="1" t="n">
        <v>1</v>
      </c>
      <c r="AT8" s="1" t="n">
        <v>1</v>
      </c>
      <c r="AU8" s="1" t="n">
        <v>1</v>
      </c>
      <c r="AV8" s="1" t="n">
        <v>1</v>
      </c>
      <c r="AW8" s="1" t="n">
        <v>1</v>
      </c>
      <c r="AX8" s="1" t="n">
        <v>1</v>
      </c>
    </row>
    <row r="9">
      <c r="B9" s="4" t="inlineStr">
        <is>
          <t>glycolysis</t>
        </is>
      </c>
      <c r="C9" s="4" t="inlineStr">
        <is>
          <t>fba</t>
        </is>
      </c>
      <c r="D9" s="4" t="inlineStr">
        <is>
          <t>fbp &lt;=&gt; dhap + g3p</t>
        </is>
      </c>
      <c r="E9" s="1" t="n">
        <v>1</v>
      </c>
      <c r="F9" s="4" t="n"/>
      <c r="G9" s="4" t="n"/>
      <c r="H9" s="4" t="n"/>
      <c r="I9" s="4" t="n"/>
      <c r="J9" s="4" t="n"/>
      <c r="K9" s="4" t="n"/>
      <c r="L9" s="4" t="n"/>
      <c r="M9" s="11" t="n"/>
      <c r="N9" s="11" t="n"/>
      <c r="O9" s="11" t="n"/>
      <c r="P9" s="11" t="n"/>
      <c r="Q9" s="11" t="n"/>
      <c r="R9" s="11" t="n"/>
      <c r="S9" s="11" t="n"/>
      <c r="T9" s="11" t="n"/>
      <c r="U9" s="11" t="n"/>
      <c r="V9" s="11" t="n"/>
      <c r="W9" s="11" t="n">
        <v>-1</v>
      </c>
      <c r="X9" s="11" t="n">
        <v>1</v>
      </c>
      <c r="Y9" s="11" t="n">
        <v>1</v>
      </c>
      <c r="Z9" s="11" t="n"/>
      <c r="AA9" s="11" t="n"/>
      <c r="AB9" s="11" t="n"/>
      <c r="AC9" s="11" t="n"/>
      <c r="AD9" s="11" t="n"/>
      <c r="AE9" s="11" t="n"/>
      <c r="AF9" s="11" t="n"/>
      <c r="AG9" s="11" t="n"/>
      <c r="AH9" s="11" t="n"/>
      <c r="AI9" s="16">
        <f>C9</f>
        <v/>
      </c>
      <c r="AJ9" s="1" t="n">
        <v>1</v>
      </c>
      <c r="AK9" s="1" t="n">
        <v>1</v>
      </c>
      <c r="AL9" s="1" t="n">
        <v>1</v>
      </c>
      <c r="AM9" s="1" t="n">
        <v>1</v>
      </c>
      <c r="AN9" s="1" t="n">
        <v>1</v>
      </c>
      <c r="AO9" s="1" t="n">
        <v>1</v>
      </c>
      <c r="AP9" s="1" t="n">
        <v>1</v>
      </c>
      <c r="AQ9" s="1" t="n">
        <v>1</v>
      </c>
      <c r="AR9" s="1" t="n">
        <v>1</v>
      </c>
      <c r="AS9" s="1" t="n">
        <v>1</v>
      </c>
      <c r="AT9" s="1" t="n">
        <v>1</v>
      </c>
      <c r="AU9" s="1" t="n">
        <v>1</v>
      </c>
      <c r="AV9" s="1" t="n">
        <v>1</v>
      </c>
      <c r="AW9" s="1" t="n">
        <v>1</v>
      </c>
      <c r="AX9" s="1" t="n">
        <v>1</v>
      </c>
    </row>
    <row r="10">
      <c r="B10" s="4" t="inlineStr">
        <is>
          <t>glycolysis</t>
        </is>
      </c>
      <c r="C10" s="4" t="inlineStr">
        <is>
          <t>tpi</t>
        </is>
      </c>
      <c r="D10" s="4" t="inlineStr">
        <is>
          <t>dhap &lt;=&gt; g3p</t>
        </is>
      </c>
      <c r="E10" s="1" t="n">
        <v>1</v>
      </c>
      <c r="F10" s="4" t="n"/>
      <c r="G10" s="4" t="n"/>
      <c r="H10" s="4" t="n"/>
      <c r="I10" s="4" t="n"/>
      <c r="J10" s="4" t="n"/>
      <c r="K10" s="4" t="n"/>
      <c r="L10" s="4" t="n"/>
      <c r="M10" s="11" t="n"/>
      <c r="N10" s="11" t="n"/>
      <c r="O10" s="11" t="n"/>
      <c r="P10" s="11" t="n"/>
      <c r="Q10" s="11" t="n"/>
      <c r="R10" s="11" t="n"/>
      <c r="S10" s="11" t="n"/>
      <c r="T10" s="11" t="n"/>
      <c r="U10" s="11" t="n"/>
      <c r="V10" s="11" t="n"/>
      <c r="W10" s="11" t="n"/>
      <c r="X10" s="11" t="n">
        <v>-1</v>
      </c>
      <c r="Y10" s="11" t="n">
        <v>1</v>
      </c>
      <c r="Z10" s="11" t="n"/>
      <c r="AA10" s="11" t="n"/>
      <c r="AB10" s="11" t="n"/>
      <c r="AC10" s="11" t="n"/>
      <c r="AD10" s="11" t="n"/>
      <c r="AE10" s="11" t="n"/>
      <c r="AF10" s="11" t="n"/>
      <c r="AG10" s="11" t="n"/>
      <c r="AH10" s="11" t="n"/>
      <c r="AI10" s="16">
        <f>C10</f>
        <v/>
      </c>
      <c r="AJ10" s="1" t="n">
        <v>1</v>
      </c>
      <c r="AK10" s="1" t="n">
        <v>1</v>
      </c>
      <c r="AL10" s="1" t="n">
        <v>1</v>
      </c>
      <c r="AM10" s="1" t="n">
        <v>1</v>
      </c>
      <c r="AN10" s="1" t="n">
        <v>1</v>
      </c>
      <c r="AO10" s="1" t="n">
        <v>1</v>
      </c>
      <c r="AP10" s="1" t="n">
        <v>1</v>
      </c>
      <c r="AQ10" s="1" t="n">
        <v>1</v>
      </c>
      <c r="AR10" s="1" t="n">
        <v>1</v>
      </c>
      <c r="AS10" s="1" t="n">
        <v>1</v>
      </c>
      <c r="AT10" s="1" t="n">
        <v>1</v>
      </c>
      <c r="AU10" s="1" t="n">
        <v>1</v>
      </c>
      <c r="AV10" s="1" t="n">
        <v>1</v>
      </c>
      <c r="AW10" s="1" t="n">
        <v>1</v>
      </c>
      <c r="AX10" s="1" t="n">
        <v>1</v>
      </c>
    </row>
    <row r="11">
      <c r="B11" s="4" t="inlineStr">
        <is>
          <t>glycolysis</t>
        </is>
      </c>
      <c r="C11" s="4" t="inlineStr">
        <is>
          <t>gap</t>
        </is>
      </c>
      <c r="D11" s="4" t="inlineStr">
        <is>
          <t>pi + nad + g3p &lt;=&gt; nadh + bpg</t>
        </is>
      </c>
      <c r="E11" s="1" t="n">
        <v>2</v>
      </c>
      <c r="F11" s="4" t="n"/>
      <c r="G11" s="4" t="n"/>
      <c r="H11" s="4" t="n"/>
      <c r="I11" s="4" t="n"/>
      <c r="J11" s="4" t="n"/>
      <c r="K11" s="4" t="n"/>
      <c r="L11" s="4" t="n">
        <v>-1</v>
      </c>
      <c r="M11" s="11" t="n">
        <v>-1</v>
      </c>
      <c r="N11" s="11" t="n">
        <v>1</v>
      </c>
      <c r="O11" s="11" t="n"/>
      <c r="P11" s="11" t="n"/>
      <c r="Q11" s="11" t="n"/>
      <c r="R11" s="11" t="n"/>
      <c r="S11" s="11" t="n"/>
      <c r="T11" s="11" t="n"/>
      <c r="U11" s="11" t="n"/>
      <c r="V11" s="11" t="n"/>
      <c r="W11" s="11" t="n"/>
      <c r="X11" s="11" t="n"/>
      <c r="Y11" s="11" t="n">
        <v>-1</v>
      </c>
      <c r="Z11" s="11" t="n">
        <v>1</v>
      </c>
      <c r="AA11" s="11" t="n"/>
      <c r="AB11" s="11" t="n"/>
      <c r="AC11" s="11" t="n"/>
      <c r="AD11" s="11" t="n"/>
      <c r="AE11" s="11" t="n"/>
      <c r="AF11" s="11" t="n"/>
      <c r="AG11" s="11" t="n"/>
      <c r="AH11" s="11" t="n"/>
      <c r="AI11" s="16">
        <f>C11</f>
        <v/>
      </c>
      <c r="AJ11" s="1" t="n">
        <v>2</v>
      </c>
      <c r="AK11" s="1" t="n">
        <v>2</v>
      </c>
      <c r="AL11" s="1" t="n">
        <v>2</v>
      </c>
      <c r="AM11" s="1" t="n">
        <v>2</v>
      </c>
      <c r="AN11" s="1" t="n">
        <v>2</v>
      </c>
      <c r="AO11" s="1" t="n">
        <v>2</v>
      </c>
      <c r="AP11" s="1" t="n">
        <v>2</v>
      </c>
      <c r="AQ11" s="1" t="n">
        <v>2</v>
      </c>
      <c r="AR11" s="1" t="n">
        <v>2</v>
      </c>
      <c r="AS11" s="1" t="n">
        <v>2</v>
      </c>
      <c r="AT11" s="1" t="n">
        <v>2</v>
      </c>
      <c r="AU11" s="1" t="n">
        <v>2</v>
      </c>
      <c r="AV11" s="1" t="n">
        <v>2</v>
      </c>
      <c r="AW11" s="1" t="n">
        <v>2</v>
      </c>
      <c r="AX11" s="1" t="n">
        <v>2</v>
      </c>
    </row>
    <row r="12">
      <c r="B12" s="4" t="inlineStr">
        <is>
          <t>glycolysis</t>
        </is>
      </c>
      <c r="C12" s="4" t="inlineStr">
        <is>
          <t>pgk</t>
        </is>
      </c>
      <c r="D12" s="4" t="inlineStr">
        <is>
          <t>bpg + adp &lt;=&gt; 3pg + atp</t>
        </is>
      </c>
      <c r="E12" s="1" t="n">
        <v>2</v>
      </c>
      <c r="F12" s="4" t="n"/>
      <c r="G12" s="4" t="n"/>
      <c r="H12" s="4" t="n"/>
      <c r="I12" s="4" t="n"/>
      <c r="J12" s="4" t="n">
        <v>1</v>
      </c>
      <c r="K12" s="4" t="n">
        <v>-1</v>
      </c>
      <c r="L12" s="4" t="n"/>
      <c r="M12" s="11" t="n"/>
      <c r="N12" s="11" t="n"/>
      <c r="O12" s="11" t="n"/>
      <c r="P12" s="11" t="n"/>
      <c r="Q12" s="11" t="n"/>
      <c r="R12" s="11" t="n"/>
      <c r="S12" s="11" t="n"/>
      <c r="T12" s="11" t="n"/>
      <c r="U12" s="11" t="n"/>
      <c r="V12" s="11" t="n"/>
      <c r="W12" s="11" t="n"/>
      <c r="X12" s="11" t="n"/>
      <c r="Y12" s="11" t="n"/>
      <c r="Z12" s="11" t="n">
        <v>-1</v>
      </c>
      <c r="AA12" s="11" t="n">
        <v>1</v>
      </c>
      <c r="AB12" s="11" t="n"/>
      <c r="AC12" s="11" t="n"/>
      <c r="AD12" s="11" t="n"/>
      <c r="AE12" s="11" t="n"/>
      <c r="AF12" s="11" t="n"/>
      <c r="AG12" s="11" t="n"/>
      <c r="AH12" s="11" t="n"/>
      <c r="AI12" s="16">
        <f>C12</f>
        <v/>
      </c>
      <c r="AJ12" s="1" t="n">
        <v>2</v>
      </c>
      <c r="AK12" s="1" t="n">
        <v>2</v>
      </c>
      <c r="AL12" s="1" t="n">
        <v>2</v>
      </c>
      <c r="AM12" s="1" t="n">
        <v>2</v>
      </c>
      <c r="AN12" s="1" t="n">
        <v>2</v>
      </c>
      <c r="AO12" s="1" t="n">
        <v>2</v>
      </c>
      <c r="AP12" s="1" t="n">
        <v>2</v>
      </c>
      <c r="AQ12" s="1" t="n">
        <v>2</v>
      </c>
      <c r="AR12" s="1" t="n">
        <v>2</v>
      </c>
      <c r="AS12" s="1" t="n">
        <v>2</v>
      </c>
      <c r="AT12" s="1" t="n">
        <v>2</v>
      </c>
      <c r="AU12" s="1" t="n">
        <v>2</v>
      </c>
      <c r="AV12" s="1" t="n">
        <v>2</v>
      </c>
      <c r="AW12" s="1" t="n">
        <v>2</v>
      </c>
      <c r="AX12" s="1" t="n">
        <v>2</v>
      </c>
    </row>
    <row r="13">
      <c r="B13" s="4" t="inlineStr">
        <is>
          <t>glycolysis</t>
        </is>
      </c>
      <c r="C13" s="4" t="inlineStr">
        <is>
          <t>gpm</t>
        </is>
      </c>
      <c r="D13" s="4" t="inlineStr">
        <is>
          <t>3pg &lt;=&gt; 2pg</t>
        </is>
      </c>
      <c r="E13" s="1" t="n">
        <v>2</v>
      </c>
      <c r="F13" s="4" t="n"/>
      <c r="G13" s="4" t="n"/>
      <c r="H13" s="4" t="n"/>
      <c r="I13" s="4" t="n"/>
      <c r="J13" s="4" t="n"/>
      <c r="K13" s="4" t="n"/>
      <c r="L13" s="4" t="n"/>
      <c r="M13" s="11" t="n"/>
      <c r="N13" s="11" t="n"/>
      <c r="O13" s="11" t="n"/>
      <c r="P13" s="11" t="n"/>
      <c r="Q13" s="11" t="n"/>
      <c r="R13" s="11" t="n"/>
      <c r="S13" s="11" t="n"/>
      <c r="T13" s="11" t="n"/>
      <c r="U13" s="11" t="n"/>
      <c r="V13" s="11" t="n"/>
      <c r="W13" s="11" t="n"/>
      <c r="X13" s="11" t="n"/>
      <c r="Y13" s="11" t="n"/>
      <c r="Z13" s="11" t="n"/>
      <c r="AA13" s="11" t="n">
        <v>-1</v>
      </c>
      <c r="AB13" s="11" t="n">
        <v>1</v>
      </c>
      <c r="AC13" s="11" t="n"/>
      <c r="AD13" s="11" t="n"/>
      <c r="AE13" s="11" t="n"/>
      <c r="AF13" s="11" t="n"/>
      <c r="AG13" s="11" t="n"/>
      <c r="AH13" s="11" t="n"/>
      <c r="AI13" s="16">
        <f>C13</f>
        <v/>
      </c>
      <c r="AJ13" s="1" t="n">
        <v>2</v>
      </c>
      <c r="AK13" s="1" t="n">
        <v>2</v>
      </c>
      <c r="AL13" s="1" t="n">
        <v>2</v>
      </c>
      <c r="AM13" s="1" t="n">
        <v>2</v>
      </c>
      <c r="AN13" s="1" t="n">
        <v>2</v>
      </c>
      <c r="AO13" s="1" t="n">
        <v>2</v>
      </c>
      <c r="AP13" s="1" t="n">
        <v>2</v>
      </c>
      <c r="AQ13" s="1" t="n">
        <v>2</v>
      </c>
      <c r="AR13" s="1" t="n">
        <v>2</v>
      </c>
      <c r="AS13" s="1" t="n">
        <v>2</v>
      </c>
      <c r="AT13" s="1" t="n">
        <v>2</v>
      </c>
      <c r="AU13" s="1" t="n">
        <v>2</v>
      </c>
      <c r="AV13" s="1" t="n">
        <v>2</v>
      </c>
      <c r="AW13" s="1" t="n">
        <v>2</v>
      </c>
      <c r="AX13" s="1" t="n">
        <v>2</v>
      </c>
    </row>
    <row r="14">
      <c r="B14" s="4" t="inlineStr">
        <is>
          <t>glycolysis</t>
        </is>
      </c>
      <c r="C14" s="4" t="inlineStr">
        <is>
          <t>eno</t>
        </is>
      </c>
      <c r="D14" s="4" t="inlineStr">
        <is>
          <t>2pg &lt;=&gt; pep + h2o</t>
        </is>
      </c>
      <c r="E14" s="1" t="n">
        <v>2</v>
      </c>
      <c r="F14" s="4" t="n"/>
      <c r="G14" s="4" t="n"/>
      <c r="H14" s="4" t="n"/>
      <c r="I14" s="4" t="n">
        <v>1</v>
      </c>
      <c r="J14" s="4" t="n"/>
      <c r="K14" s="4" t="n"/>
      <c r="L14" s="4" t="n"/>
      <c r="M14" s="11" t="n"/>
      <c r="N14" s="11" t="n"/>
      <c r="O14" s="11" t="n"/>
      <c r="P14" s="11" t="n"/>
      <c r="Q14" s="11" t="n"/>
      <c r="R14" s="11" t="n"/>
      <c r="S14" s="11" t="n"/>
      <c r="T14" s="11" t="n"/>
      <c r="U14" s="11" t="n"/>
      <c r="V14" s="11" t="n"/>
      <c r="W14" s="11" t="n"/>
      <c r="X14" s="11" t="n"/>
      <c r="Y14" s="11" t="n"/>
      <c r="Z14" s="11" t="n"/>
      <c r="AA14" s="11" t="n"/>
      <c r="AB14" s="11" t="n">
        <v>-1</v>
      </c>
      <c r="AC14" s="11" t="n">
        <v>1</v>
      </c>
      <c r="AD14" s="11" t="n"/>
      <c r="AE14" s="11" t="n"/>
      <c r="AF14" s="11" t="n"/>
      <c r="AG14" s="11" t="n"/>
      <c r="AH14" s="11" t="n"/>
      <c r="AI14" s="16">
        <f>C14</f>
        <v/>
      </c>
      <c r="AJ14" s="1" t="n">
        <v>2</v>
      </c>
      <c r="AK14" s="1" t="n">
        <v>2</v>
      </c>
      <c r="AL14" s="1" t="n">
        <v>2</v>
      </c>
      <c r="AM14" s="1" t="n">
        <v>2</v>
      </c>
      <c r="AN14" s="1" t="n">
        <v>2</v>
      </c>
      <c r="AO14" s="1" t="n">
        <v>2</v>
      </c>
      <c r="AP14" s="1" t="n">
        <v>2</v>
      </c>
      <c r="AQ14" s="1" t="n">
        <v>2</v>
      </c>
      <c r="AR14" s="1" t="n">
        <v>2</v>
      </c>
      <c r="AS14" s="1" t="n">
        <v>2</v>
      </c>
      <c r="AT14" s="1" t="n">
        <v>2</v>
      </c>
      <c r="AU14" s="1" t="n">
        <v>2</v>
      </c>
      <c r="AV14" s="1" t="n">
        <v>2</v>
      </c>
      <c r="AW14" s="1" t="n">
        <v>2</v>
      </c>
      <c r="AX14" s="1" t="n">
        <v>2</v>
      </c>
    </row>
    <row r="15">
      <c r="B15" s="4" t="inlineStr">
        <is>
          <t>glycolysis</t>
        </is>
      </c>
      <c r="C15" s="4" t="inlineStr">
        <is>
          <t>pyk</t>
        </is>
      </c>
      <c r="D15" s="4" t="inlineStr">
        <is>
          <t>adp + pep &lt;=&gt; atp + pyr</t>
        </is>
      </c>
      <c r="F15" s="4" t="n"/>
      <c r="G15" s="4" t="n"/>
      <c r="H15" s="4" t="n"/>
      <c r="I15" s="4" t="n"/>
      <c r="J15" s="4" t="n">
        <v>1</v>
      </c>
      <c r="K15" s="4" t="n">
        <v>-1</v>
      </c>
      <c r="L15" s="4" t="n"/>
      <c r="M15" s="11" t="n"/>
      <c r="N15" s="11" t="n"/>
      <c r="O15" s="11" t="n"/>
      <c r="P15" s="11" t="n"/>
      <c r="Q15" s="11" t="n"/>
      <c r="R15" s="11" t="n"/>
      <c r="S15" s="11" t="n"/>
      <c r="T15" s="11" t="n"/>
      <c r="U15" s="11" t="n"/>
      <c r="V15" s="11" t="n"/>
      <c r="W15" s="11" t="n"/>
      <c r="X15" s="11" t="n"/>
      <c r="Y15" s="11" t="n"/>
      <c r="Z15" s="11" t="n"/>
      <c r="AA15" s="11" t="n"/>
      <c r="AB15" s="11" t="n"/>
      <c r="AC15" s="11" t="n">
        <v>-1</v>
      </c>
      <c r="AD15" s="11" t="n"/>
      <c r="AE15" s="11" t="n">
        <v>1</v>
      </c>
      <c r="AF15" s="11" t="n"/>
      <c r="AG15" s="11" t="n"/>
      <c r="AH15" s="11" t="n"/>
      <c r="AI15" s="16">
        <f>C15</f>
        <v/>
      </c>
      <c r="AJ15" s="1" t="n">
        <v>2</v>
      </c>
      <c r="AK15" s="1" t="n">
        <v>2</v>
      </c>
      <c r="AL15" s="1" t="n">
        <v>2</v>
      </c>
      <c r="AM15" s="1" t="n">
        <v>2</v>
      </c>
      <c r="AN15" s="1" t="n">
        <v>2</v>
      </c>
      <c r="AO15" s="1" t="n"/>
      <c r="AP15" s="1" t="n">
        <v>2</v>
      </c>
      <c r="AQ15" s="1" t="n"/>
      <c r="AR15" s="1" t="n">
        <v>2</v>
      </c>
      <c r="AS15" s="1" t="n">
        <v>2</v>
      </c>
      <c r="AT15" s="1" t="n">
        <v>2</v>
      </c>
      <c r="AU15" s="1" t="n">
        <v>2</v>
      </c>
      <c r="AV15" s="1" t="n">
        <v>2</v>
      </c>
      <c r="AW15" s="1" t="n">
        <v>2</v>
      </c>
      <c r="AX15" s="1" t="n">
        <v>2</v>
      </c>
    </row>
    <row r="16">
      <c r="B16" s="5" t="inlineStr">
        <is>
          <t>malate shunt</t>
        </is>
      </c>
      <c r="C16" s="5" t="inlineStr">
        <is>
          <t>pepck</t>
        </is>
      </c>
      <c r="D16" s="5" t="inlineStr">
        <is>
          <t>pep + adp + co2 &lt;=&gt; oaa + atp</t>
        </is>
      </c>
      <c r="E16" s="1" t="n">
        <v>2</v>
      </c>
      <c r="F16" s="4" t="n"/>
      <c r="G16" s="4" t="n"/>
      <c r="H16" s="4" t="n">
        <v>-1</v>
      </c>
      <c r="I16" s="4" t="n"/>
      <c r="J16" s="4" t="n">
        <v>1</v>
      </c>
      <c r="K16" s="4" t="n">
        <v>-1</v>
      </c>
      <c r="L16" s="4" t="n"/>
      <c r="M16" s="11" t="n"/>
      <c r="N16" s="11" t="n"/>
      <c r="O16" s="11" t="n"/>
      <c r="P16" s="11" t="n"/>
      <c r="Q16" s="11" t="n"/>
      <c r="R16" s="11" t="n"/>
      <c r="S16" s="11" t="n"/>
      <c r="T16" s="11" t="n"/>
      <c r="U16" s="11" t="n"/>
      <c r="V16" s="11" t="n"/>
      <c r="W16" s="11" t="n"/>
      <c r="X16" s="11" t="n"/>
      <c r="Y16" s="11" t="n"/>
      <c r="Z16" s="11" t="n"/>
      <c r="AA16" s="11" t="n"/>
      <c r="AB16" s="11" t="n"/>
      <c r="AC16" s="11" t="n">
        <v>-1</v>
      </c>
      <c r="AD16" s="11" t="n">
        <v>1</v>
      </c>
      <c r="AE16" s="11" t="n"/>
      <c r="AF16" s="11" t="n"/>
      <c r="AG16" s="11" t="n"/>
      <c r="AH16" s="11" t="n"/>
      <c r="AI16" s="16">
        <f>C16</f>
        <v/>
      </c>
      <c r="AJ16" s="1" t="n"/>
      <c r="AK16" s="1" t="n"/>
      <c r="AL16" s="1" t="n"/>
      <c r="AM16" s="1" t="n"/>
      <c r="AN16" s="1" t="n"/>
      <c r="AO16" s="1" t="n">
        <v>2</v>
      </c>
      <c r="AP16" s="1" t="n"/>
      <c r="AQ16" s="1" t="n">
        <v>2</v>
      </c>
      <c r="AR16" s="1" t="n"/>
      <c r="AS16" s="1" t="n"/>
      <c r="AT16" s="1" t="n"/>
    </row>
    <row r="17">
      <c r="B17" s="5" t="inlineStr">
        <is>
          <t>malate shunt</t>
        </is>
      </c>
      <c r="C17" s="5" t="inlineStr">
        <is>
          <t>mdh</t>
        </is>
      </c>
      <c r="D17" s="5" t="inlineStr">
        <is>
          <t>oaa + nadh &lt;=&gt; nad + mal</t>
        </is>
      </c>
      <c r="E17" s="1" t="n">
        <v>2</v>
      </c>
      <c r="F17" s="4" t="n"/>
      <c r="G17" s="4" t="n"/>
      <c r="H17" s="4" t="n"/>
      <c r="I17" s="4" t="n"/>
      <c r="J17" s="4" t="n"/>
      <c r="K17" s="4" t="n"/>
      <c r="L17" s="4" t="n"/>
      <c r="M17" s="11" t="n">
        <v>1</v>
      </c>
      <c r="N17" s="11" t="n">
        <v>-1</v>
      </c>
      <c r="O17" s="11" t="n"/>
      <c r="P17" s="11" t="n"/>
      <c r="Q17" s="11" t="n"/>
      <c r="R17" s="11" t="n"/>
      <c r="S17" s="11" t="n"/>
      <c r="T17" s="11" t="n"/>
      <c r="U17" s="11" t="n"/>
      <c r="V17" s="11" t="n"/>
      <c r="W17" s="11" t="n"/>
      <c r="X17" s="11" t="n"/>
      <c r="Y17" s="11" t="n"/>
      <c r="Z17" s="11" t="n"/>
      <c r="AA17" s="11" t="n"/>
      <c r="AB17" s="11" t="n"/>
      <c r="AC17" s="11" t="n"/>
      <c r="AD17" s="11" t="n">
        <v>-1</v>
      </c>
      <c r="AE17" s="11" t="n"/>
      <c r="AF17" s="11" t="n">
        <v>1</v>
      </c>
      <c r="AG17" s="11" t="n"/>
      <c r="AH17" s="11" t="n"/>
      <c r="AI17" s="16">
        <f>C17</f>
        <v/>
      </c>
      <c r="AJ17" s="1" t="n"/>
      <c r="AK17" s="1" t="n"/>
      <c r="AL17" s="1" t="n"/>
      <c r="AM17" s="1" t="n"/>
      <c r="AN17" s="1" t="n"/>
      <c r="AO17" s="1" t="n">
        <v>2</v>
      </c>
      <c r="AP17" s="1" t="n"/>
      <c r="AQ17" s="1" t="n">
        <v>2</v>
      </c>
      <c r="AR17" s="1" t="n"/>
      <c r="AS17" s="1" t="n"/>
      <c r="AT17" s="1" t="n"/>
    </row>
    <row r="18">
      <c r="B18" s="5" t="inlineStr">
        <is>
          <t>malate shunt</t>
        </is>
      </c>
      <c r="C18" s="5" t="inlineStr">
        <is>
          <t>mae</t>
        </is>
      </c>
      <c r="D18" s="5" t="inlineStr">
        <is>
          <t>mal + nadp &lt;=&gt; nadph + pyr + co2</t>
        </is>
      </c>
      <c r="E18" s="1" t="n">
        <v>2</v>
      </c>
      <c r="F18" s="4" t="n"/>
      <c r="G18" s="4" t="n"/>
      <c r="H18" s="4" t="n">
        <v>1</v>
      </c>
      <c r="I18" s="4" t="n"/>
      <c r="J18" s="4" t="n"/>
      <c r="K18" s="4" t="n"/>
      <c r="L18" s="4" t="n"/>
      <c r="M18" s="11" t="n"/>
      <c r="N18" s="11" t="n"/>
      <c r="O18" s="11" t="n">
        <v>-1</v>
      </c>
      <c r="P18" s="11" t="n">
        <v>1</v>
      </c>
      <c r="Q18" s="11" t="n"/>
      <c r="R18" s="11" t="n"/>
      <c r="S18" s="11" t="n"/>
      <c r="T18" s="11" t="n"/>
      <c r="U18" s="11" t="n"/>
      <c r="V18" s="11" t="n"/>
      <c r="W18" s="11" t="n"/>
      <c r="X18" s="11" t="n"/>
      <c r="Y18" s="11" t="n"/>
      <c r="Z18" s="11" t="n"/>
      <c r="AA18" s="11" t="n"/>
      <c r="AB18" s="11" t="n"/>
      <c r="AC18" s="11" t="n"/>
      <c r="AD18" s="11" t="n"/>
      <c r="AE18" s="11" t="n">
        <v>1</v>
      </c>
      <c r="AF18" s="11" t="n">
        <v>-1</v>
      </c>
      <c r="AG18" s="11" t="n"/>
      <c r="AH18" s="11" t="n"/>
      <c r="AI18" s="16">
        <f>C18</f>
        <v/>
      </c>
      <c r="AJ18" s="1" t="n"/>
      <c r="AK18" s="1" t="n"/>
      <c r="AL18" s="1" t="n"/>
      <c r="AM18" s="1" t="n"/>
      <c r="AN18" s="1" t="n"/>
      <c r="AO18" s="1" t="n">
        <v>2</v>
      </c>
      <c r="AP18" s="1" t="n"/>
      <c r="AQ18" s="1" t="n">
        <v>2</v>
      </c>
      <c r="AR18" s="1" t="n"/>
      <c r="AS18" s="1" t="n"/>
      <c r="AT18" s="1" t="n"/>
    </row>
    <row r="19">
      <c r="A19" t="inlineStr">
        <is>
          <t>pforA</t>
        </is>
      </c>
      <c r="B19" s="6" t="inlineStr">
        <is>
          <t>pfor</t>
        </is>
      </c>
      <c r="C19" s="6" t="inlineStr">
        <is>
          <t>pfor</t>
        </is>
      </c>
      <c r="D19" s="6" t="inlineStr">
        <is>
          <t>coa + pyr + 2 fdox &lt;=&gt; accoa + co2 + 2 fdred</t>
        </is>
      </c>
      <c r="E19" s="1" t="n">
        <v>2</v>
      </c>
      <c r="F19" s="4" t="n"/>
      <c r="G19" s="4" t="n"/>
      <c r="H19" s="4" t="n">
        <v>1</v>
      </c>
      <c r="I19" s="4" t="n"/>
      <c r="J19" s="4" t="n"/>
      <c r="K19" s="4" t="n"/>
      <c r="L19" s="4" t="n"/>
      <c r="M19" s="11" t="n"/>
      <c r="N19" s="11" t="n"/>
      <c r="O19" s="11" t="n"/>
      <c r="P19" s="11" t="n"/>
      <c r="Q19" s="11" t="n">
        <v>-2</v>
      </c>
      <c r="R19" s="11" t="n">
        <v>2</v>
      </c>
      <c r="S19" s="11" t="n">
        <v>-1</v>
      </c>
      <c r="T19" s="11" t="n">
        <v>1</v>
      </c>
      <c r="U19" s="11" t="n"/>
      <c r="V19" s="11" t="n"/>
      <c r="W19" s="11" t="n"/>
      <c r="X19" s="11" t="n"/>
      <c r="Y19" s="11" t="n"/>
      <c r="Z19" s="11" t="n"/>
      <c r="AA19" s="11" t="n"/>
      <c r="AB19" s="11" t="n"/>
      <c r="AC19" s="11" t="n"/>
      <c r="AD19" s="11" t="n"/>
      <c r="AE19" s="11" t="n">
        <v>-1</v>
      </c>
      <c r="AF19" s="11" t="n"/>
      <c r="AG19" s="11" t="n"/>
      <c r="AH19" s="11" t="n"/>
      <c r="AI19" s="16">
        <f>C19</f>
        <v/>
      </c>
      <c r="AJ19" s="1" t="n">
        <v>2</v>
      </c>
      <c r="AK19" s="1" t="n">
        <v>2</v>
      </c>
      <c r="AL19" s="1" t="n">
        <v>2</v>
      </c>
      <c r="AM19" s="1" t="n">
        <v>2</v>
      </c>
      <c r="AN19" s="1" t="n">
        <v>2</v>
      </c>
      <c r="AO19" s="1" t="n">
        <v>2</v>
      </c>
      <c r="AP19" s="1" t="n"/>
      <c r="AQ19" s="1" t="n">
        <v>2</v>
      </c>
      <c r="AR19" s="1" t="n">
        <v>2</v>
      </c>
      <c r="AS19" s="1" t="n"/>
      <c r="AT19" s="1" t="n"/>
      <c r="AU19" s="1" t="n">
        <v>2</v>
      </c>
      <c r="AV19" s="1" t="n">
        <v>2</v>
      </c>
      <c r="AW19" s="1" t="n">
        <v>2</v>
      </c>
      <c r="AX19" s="1" t="n">
        <v>2</v>
      </c>
    </row>
    <row r="20">
      <c r="B20" s="6" t="inlineStr">
        <is>
          <t>pdc</t>
        </is>
      </c>
      <c r="C20" s="6" t="inlineStr">
        <is>
          <t>pdc</t>
        </is>
      </c>
      <c r="D20" s="6" t="inlineStr">
        <is>
          <t>pyr &lt;=&gt; acald + co2</t>
        </is>
      </c>
      <c r="F20" s="4" t="n"/>
      <c r="G20" s="4" t="n"/>
      <c r="H20" s="4" t="n">
        <v>1</v>
      </c>
      <c r="I20" s="4" t="n"/>
      <c r="J20" s="4" t="n"/>
      <c r="K20" s="4" t="n"/>
      <c r="L20" s="4" t="n"/>
      <c r="M20" s="11" t="n"/>
      <c r="N20" s="11" t="n"/>
      <c r="O20" s="11" t="n"/>
      <c r="P20" s="11" t="n"/>
      <c r="Q20" s="11" t="n"/>
      <c r="R20" s="11" t="n"/>
      <c r="S20" s="11" t="n"/>
      <c r="T20" s="11" t="n"/>
      <c r="U20" s="11" t="n"/>
      <c r="V20" s="11" t="n"/>
      <c r="W20" s="11" t="n"/>
      <c r="X20" s="11" t="n"/>
      <c r="Y20" s="11" t="n"/>
      <c r="Z20" s="11" t="n"/>
      <c r="AA20" s="11" t="n"/>
      <c r="AB20" s="11" t="n"/>
      <c r="AC20" s="11" t="n"/>
      <c r="AD20" s="11" t="n"/>
      <c r="AE20" s="11" t="n">
        <v>-1</v>
      </c>
      <c r="AF20" s="11" t="n"/>
      <c r="AG20" s="11" t="n">
        <v>1</v>
      </c>
      <c r="AH20" s="11" t="n"/>
      <c r="AI20" s="16">
        <f>C20</f>
        <v/>
      </c>
      <c r="AJ20" s="1" t="n"/>
      <c r="AK20" s="1" t="n"/>
      <c r="AL20" s="1" t="n"/>
      <c r="AM20" s="1" t="n"/>
      <c r="AN20" s="1" t="n"/>
      <c r="AO20" s="1" t="n"/>
      <c r="AP20" s="1" t="n">
        <v>2</v>
      </c>
      <c r="AQ20" s="1" t="n"/>
      <c r="AR20" s="1" t="n"/>
      <c r="AS20" s="1" t="n">
        <v>2</v>
      </c>
      <c r="AT20" s="1" t="n"/>
    </row>
    <row r="21">
      <c r="B21" s="6" t="inlineStr">
        <is>
          <t>pdh</t>
        </is>
      </c>
      <c r="C21" s="6" t="inlineStr">
        <is>
          <t>pdh</t>
        </is>
      </c>
      <c r="D21" s="6" t="inlineStr">
        <is>
          <t>pyr + coa + nad &lt;=&gt; accoa + nadh + co2</t>
        </is>
      </c>
      <c r="F21" s="4" t="n"/>
      <c r="G21" s="4" t="n"/>
      <c r="H21" s="4" t="n">
        <v>1</v>
      </c>
      <c r="I21" s="4" t="n"/>
      <c r="J21" s="4" t="n"/>
      <c r="K21" s="4" t="n"/>
      <c r="L21" s="4" t="n"/>
      <c r="M21" s="11" t="n">
        <v>-1</v>
      </c>
      <c r="N21" s="11" t="n">
        <v>1</v>
      </c>
      <c r="O21" s="11" t="n"/>
      <c r="P21" s="11" t="n"/>
      <c r="Q21" s="11" t="n"/>
      <c r="R21" s="11" t="n"/>
      <c r="S21" s="11" t="n">
        <v>-1</v>
      </c>
      <c r="T21" s="11" t="n">
        <v>1</v>
      </c>
      <c r="U21" s="11" t="n"/>
      <c r="V21" s="11" t="n"/>
      <c r="W21" s="11" t="n"/>
      <c r="X21" s="11" t="n"/>
      <c r="Y21" s="11" t="n"/>
      <c r="Z21" s="11" t="n"/>
      <c r="AA21" s="11" t="n"/>
      <c r="AB21" s="11" t="n"/>
      <c r="AC21" s="11" t="n"/>
      <c r="AD21" s="11" t="n"/>
      <c r="AE21" s="11" t="n">
        <v>-1</v>
      </c>
      <c r="AF21" s="11" t="n"/>
      <c r="AG21" s="11" t="n"/>
      <c r="AH21" s="11" t="n"/>
      <c r="AI21" s="16">
        <f>C21</f>
        <v/>
      </c>
      <c r="AJ21" s="1" t="n"/>
      <c r="AK21" s="1" t="n"/>
      <c r="AL21" s="1" t="n"/>
      <c r="AM21" s="1" t="n"/>
      <c r="AN21" s="1" t="n"/>
      <c r="AO21" s="1" t="n"/>
      <c r="AP21" s="1" t="n"/>
      <c r="AQ21" s="1" t="n"/>
      <c r="AR21" s="1" t="n"/>
      <c r="AS21" s="1" t="n"/>
      <c r="AT21" s="1" t="n">
        <v>2</v>
      </c>
    </row>
    <row r="22">
      <c r="A22" t="inlineStr">
        <is>
          <t>rnf</t>
        </is>
      </c>
      <c r="B22" s="7" t="inlineStr">
        <is>
          <t>electron transfer</t>
        </is>
      </c>
      <c r="C22" s="7" t="inlineStr">
        <is>
          <t>rnf</t>
        </is>
      </c>
      <c r="D22" s="7" t="inlineStr">
        <is>
          <t>2 fdred + nad + 0.5 adp + 0.5 pi &lt;=&gt; 0.5 atp + 0.5 h2o + nadh + 2 fdox</t>
        </is>
      </c>
      <c r="F22" s="4" t="n"/>
      <c r="G22" s="4" t="n"/>
      <c r="H22" s="4" t="n"/>
      <c r="I22" s="4" t="n">
        <v>0.5</v>
      </c>
      <c r="J22" s="4" t="n">
        <v>0.5</v>
      </c>
      <c r="K22" s="4" t="n">
        <v>-0.5</v>
      </c>
      <c r="L22" s="4" t="n">
        <v>-0.5</v>
      </c>
      <c r="M22" s="11" t="n">
        <v>-1</v>
      </c>
      <c r="N22" s="11" t="n">
        <v>1</v>
      </c>
      <c r="O22" s="11" t="n"/>
      <c r="P22" s="11" t="n"/>
      <c r="Q22" s="11" t="n">
        <v>2</v>
      </c>
      <c r="R22" s="11" t="n">
        <v>-2</v>
      </c>
      <c r="S22" s="11" t="n"/>
      <c r="T22" s="11" t="n"/>
      <c r="U22" s="11" t="n"/>
      <c r="V22" s="11" t="n"/>
      <c r="W22" s="11" t="n"/>
      <c r="X22" s="11" t="n"/>
      <c r="Y22" s="11" t="n"/>
      <c r="Z22" s="11" t="n"/>
      <c r="AA22" s="11" t="n"/>
      <c r="AB22" s="11" t="n"/>
      <c r="AC22" s="11" t="n"/>
      <c r="AD22" s="11" t="n"/>
      <c r="AE22" s="11" t="n"/>
      <c r="AF22" s="11" t="n"/>
      <c r="AG22" s="11" t="n"/>
      <c r="AH22" s="11" t="n"/>
      <c r="AI22" s="16">
        <f>C22</f>
        <v/>
      </c>
      <c r="AJ22" s="1" t="n"/>
      <c r="AK22" s="1" t="n"/>
      <c r="AL22" s="1" t="n"/>
      <c r="AM22" s="1" t="n"/>
      <c r="AN22" s="1" t="n"/>
      <c r="AO22" s="1" t="n"/>
      <c r="AP22" s="1" t="n"/>
      <c r="AQ22" s="1" t="n">
        <v>2</v>
      </c>
      <c r="AR22" s="1" t="n"/>
      <c r="AS22" s="1" t="n"/>
      <c r="AT22" s="1" t="n"/>
      <c r="AV22" s="1" t="n">
        <v>2</v>
      </c>
    </row>
    <row r="23">
      <c r="A23" t="inlineStr">
        <is>
          <t>hydA</t>
        </is>
      </c>
      <c r="B23" s="7" t="inlineStr">
        <is>
          <t>electron transfer</t>
        </is>
      </c>
      <c r="C23" s="7" t="inlineStr">
        <is>
          <t>bif-hyd</t>
        </is>
      </c>
      <c r="D23" s="7" t="inlineStr">
        <is>
          <t>2 fdred + nadh &lt;=&gt; 2 fdox + 2 h2 + nad</t>
        </is>
      </c>
      <c r="F23" s="4" t="n"/>
      <c r="G23" s="4" t="n"/>
      <c r="H23" s="4" t="n"/>
      <c r="I23" s="4" t="n"/>
      <c r="J23" s="4" t="n"/>
      <c r="K23" s="4" t="n"/>
      <c r="L23" s="4" t="n"/>
      <c r="M23" s="11" t="n">
        <v>1</v>
      </c>
      <c r="N23" s="11" t="n">
        <v>-1</v>
      </c>
      <c r="O23" s="11" t="n"/>
      <c r="P23" s="11" t="n"/>
      <c r="Q23" s="11" t="n">
        <v>2</v>
      </c>
      <c r="R23" s="11" t="n">
        <v>-2</v>
      </c>
      <c r="S23" s="11" t="n"/>
      <c r="T23" s="11" t="n"/>
      <c r="U23" s="11" t="n"/>
      <c r="V23" s="11" t="n"/>
      <c r="W23" s="11" t="n"/>
      <c r="X23" s="11" t="n"/>
      <c r="Y23" s="11" t="n"/>
      <c r="Z23" s="11" t="n"/>
      <c r="AA23" s="11" t="n"/>
      <c r="AB23" s="11" t="n"/>
      <c r="AC23" s="11" t="n"/>
      <c r="AD23" s="11" t="n"/>
      <c r="AE23" s="11" t="n"/>
      <c r="AF23" s="11" t="n"/>
      <c r="AG23" s="11" t="n"/>
      <c r="AH23" s="11" t="n">
        <v>2</v>
      </c>
      <c r="AI23" s="16">
        <f>C23</f>
        <v/>
      </c>
      <c r="AJ23" s="1" t="n"/>
      <c r="AK23" s="1" t="n"/>
      <c r="AL23" s="1" t="n"/>
      <c r="AM23" s="1" t="n">
        <v>-1</v>
      </c>
      <c r="AN23" s="1" t="n"/>
      <c r="AO23" s="1" t="n"/>
      <c r="AP23" s="1" t="n"/>
      <c r="AQ23" s="1" t="n"/>
      <c r="AR23" s="1" t="n">
        <v>-2</v>
      </c>
      <c r="AS23" s="1" t="n"/>
      <c r="AT23" s="1" t="n"/>
      <c r="AW23" s="1" t="n">
        <v>-2</v>
      </c>
    </row>
    <row r="24">
      <c r="A24" t="inlineStr">
        <is>
          <t>hfsD</t>
        </is>
      </c>
      <c r="B24" s="7" t="inlineStr">
        <is>
          <t>electron transfer</t>
        </is>
      </c>
      <c r="C24" s="7" t="inlineStr">
        <is>
          <t>hyd</t>
        </is>
      </c>
      <c r="D24" s="7" t="inlineStr">
        <is>
          <t>2 fdred &lt;=&gt; 2 fdox + h2</t>
        </is>
      </c>
      <c r="F24" s="4" t="n"/>
      <c r="G24" s="4" t="n"/>
      <c r="H24" s="4" t="n"/>
      <c r="I24" s="4" t="n"/>
      <c r="J24" s="4" t="n"/>
      <c r="K24" s="4" t="n"/>
      <c r="L24" s="4" t="n"/>
      <c r="M24" s="11" t="n"/>
      <c r="N24" s="11" t="n"/>
      <c r="O24" s="11" t="n"/>
      <c r="P24" s="11" t="n"/>
      <c r="Q24" s="11" t="n">
        <v>2</v>
      </c>
      <c r="R24" s="11" t="n">
        <v>-2</v>
      </c>
      <c r="S24" s="11" t="n"/>
      <c r="T24" s="11" t="n"/>
      <c r="U24" s="11" t="n"/>
      <c r="V24" s="11" t="n"/>
      <c r="W24" s="11" t="n"/>
      <c r="X24" s="11" t="n"/>
      <c r="Y24" s="11" t="n"/>
      <c r="Z24" s="11" t="n"/>
      <c r="AA24" s="11" t="n"/>
      <c r="AB24" s="11" t="n"/>
      <c r="AC24" s="11" t="n"/>
      <c r="AD24" s="11" t="n"/>
      <c r="AE24" s="11" t="n"/>
      <c r="AF24" s="11" t="n"/>
      <c r="AG24" s="11" t="n"/>
      <c r="AH24" s="11" t="n">
        <v>1</v>
      </c>
      <c r="AI24" s="16">
        <f>C24</f>
        <v/>
      </c>
      <c r="AJ24" s="1" t="n"/>
      <c r="AK24" s="1" t="n"/>
      <c r="AL24" s="1" t="n"/>
      <c r="AM24" s="1" t="n">
        <v>2</v>
      </c>
      <c r="AN24" s="1" t="n"/>
      <c r="AO24" s="1" t="n"/>
      <c r="AP24" s="1" t="n"/>
      <c r="AQ24" s="1" t="n"/>
      <c r="AR24" s="1" t="n">
        <v>4</v>
      </c>
      <c r="AS24" s="1" t="n"/>
      <c r="AT24" s="1" t="n"/>
      <c r="AW24" s="1" t="n">
        <v>4</v>
      </c>
    </row>
    <row r="25">
      <c r="A25" t="inlineStr">
        <is>
          <t>nfnAB</t>
        </is>
      </c>
      <c r="B25" s="7" t="inlineStr">
        <is>
          <t>electron transfer</t>
        </is>
      </c>
      <c r="C25" s="7" t="inlineStr">
        <is>
          <t>nfn</t>
        </is>
      </c>
      <c r="D25" s="7" t="inlineStr">
        <is>
          <t>2 fdred + nadh + 2 nadp &lt;=&gt; 2 nadph + nad + 2 fdox</t>
        </is>
      </c>
      <c r="F25" s="4" t="n"/>
      <c r="G25" s="4" t="n"/>
      <c r="H25" s="4" t="n"/>
      <c r="I25" s="4" t="n"/>
      <c r="J25" s="4" t="n"/>
      <c r="K25" s="4" t="n"/>
      <c r="L25" s="4" t="n"/>
      <c r="M25" s="11" t="n">
        <v>1</v>
      </c>
      <c r="N25" s="11" t="n">
        <v>-1</v>
      </c>
      <c r="O25" s="11" t="n">
        <v>-2</v>
      </c>
      <c r="P25" s="11" t="n">
        <v>2</v>
      </c>
      <c r="Q25" s="11" t="n">
        <v>2</v>
      </c>
      <c r="R25" s="11" t="n">
        <v>-2</v>
      </c>
      <c r="S25" s="11" t="n"/>
      <c r="T25" s="11" t="n"/>
      <c r="U25" s="11" t="n"/>
      <c r="V25" s="11" t="n"/>
      <c r="W25" s="11" t="n"/>
      <c r="X25" s="11" t="n"/>
      <c r="Y25" s="11" t="n"/>
      <c r="Z25" s="11" t="n"/>
      <c r="AA25" s="11" t="n"/>
      <c r="AB25" s="11" t="n"/>
      <c r="AC25" s="11" t="n"/>
      <c r="AD25" s="11" t="n"/>
      <c r="AE25" s="11" t="n"/>
      <c r="AF25" s="11" t="n"/>
      <c r="AG25" s="11" t="n"/>
      <c r="AH25" s="11" t="n"/>
      <c r="AI25" s="16">
        <f>C25</f>
        <v/>
      </c>
      <c r="AJ25" s="1" t="n">
        <v>2</v>
      </c>
      <c r="AK25" s="1" t="n">
        <v>2</v>
      </c>
      <c r="AL25" s="1" t="n"/>
      <c r="AM25" s="1" t="n">
        <v>1</v>
      </c>
      <c r="AN25" s="1" t="n"/>
      <c r="AO25" s="1" t="n"/>
      <c r="AP25" s="1" t="n"/>
      <c r="AQ25" s="1" t="n"/>
      <c r="AR25" s="1" t="n"/>
      <c r="AS25" s="1" t="n"/>
      <c r="AT25" s="1" t="n"/>
    </row>
    <row r="26">
      <c r="B26" s="7" t="inlineStr">
        <is>
          <t>electron transfer</t>
        </is>
      </c>
      <c r="C26" s="7" t="inlineStr">
        <is>
          <t>fnor</t>
        </is>
      </c>
      <c r="D26" s="7" t="inlineStr">
        <is>
          <t>2 fdred + nad &lt;=&gt; nadh + 2 fdox</t>
        </is>
      </c>
      <c r="F26" s="4" t="n"/>
      <c r="G26" s="4" t="n"/>
      <c r="H26" s="4" t="n"/>
      <c r="I26" s="4" t="n"/>
      <c r="J26" s="4" t="n"/>
      <c r="K26" s="4" t="n"/>
      <c r="L26" s="4" t="n"/>
      <c r="M26" s="11" t="n">
        <v>-1</v>
      </c>
      <c r="N26" s="11" t="n">
        <v>1</v>
      </c>
      <c r="O26" s="11" t="n"/>
      <c r="P26" s="11" t="n"/>
      <c r="Q26" s="11" t="n">
        <v>2</v>
      </c>
      <c r="R26" s="11" t="n">
        <v>-2</v>
      </c>
      <c r="S26" s="11" t="n"/>
      <c r="T26" s="11" t="n"/>
      <c r="U26" s="11" t="n"/>
      <c r="V26" s="11" t="n"/>
      <c r="W26" s="11" t="n"/>
      <c r="X26" s="11" t="n"/>
      <c r="Y26" s="11" t="n"/>
      <c r="Z26" s="11" t="n"/>
      <c r="AA26" s="11" t="n"/>
      <c r="AB26" s="11" t="n"/>
      <c r="AC26" s="11" t="n"/>
      <c r="AD26" s="11" t="n"/>
      <c r="AE26" s="11" t="n"/>
      <c r="AF26" s="11" t="n"/>
      <c r="AG26" s="11" t="n"/>
      <c r="AH26" s="11" t="n"/>
      <c r="AI26" s="16">
        <f>C26</f>
        <v/>
      </c>
      <c r="AJ26" s="1" t="n"/>
      <c r="AK26" s="1" t="n"/>
      <c r="AL26" s="1" t="n"/>
      <c r="AM26" s="1" t="n"/>
      <c r="AN26" s="1" t="n"/>
      <c r="AO26" s="1" t="n"/>
      <c r="AP26" s="1" t="n"/>
      <c r="AQ26" s="1" t="n"/>
      <c r="AR26" s="1" t="n"/>
      <c r="AS26" s="1" t="n"/>
      <c r="AT26" s="1" t="n"/>
      <c r="AU26" s="1" t="n">
        <v>2</v>
      </c>
      <c r="AX26" s="1" t="n">
        <v>2</v>
      </c>
    </row>
    <row r="27">
      <c r="A27" t="inlineStr">
        <is>
          <t>nfnB alone, cac_0764</t>
        </is>
      </c>
      <c r="B27" s="7" t="inlineStr">
        <is>
          <t>electron transfer</t>
        </is>
      </c>
      <c r="C27" s="7" t="inlineStr">
        <is>
          <t>fnorp</t>
        </is>
      </c>
      <c r="D27" s="7" t="inlineStr">
        <is>
          <t>2 fdred + nadp &lt;=&gt; nadph + 2 fdox</t>
        </is>
      </c>
      <c r="E27" s="1" t="n">
        <v>2</v>
      </c>
      <c r="F27" s="4" t="n"/>
      <c r="G27" s="4" t="n"/>
      <c r="H27" s="4" t="n"/>
      <c r="I27" s="4" t="n"/>
      <c r="J27" s="4" t="n"/>
      <c r="K27" s="4" t="n"/>
      <c r="L27" s="4" t="n"/>
      <c r="M27" s="11" t="n"/>
      <c r="N27" s="11" t="n"/>
      <c r="O27" s="11" t="n">
        <v>-1</v>
      </c>
      <c r="P27" s="11" t="n">
        <v>1</v>
      </c>
      <c r="Q27" s="11" t="n">
        <v>2</v>
      </c>
      <c r="R27" s="11" t="n">
        <v>-2</v>
      </c>
      <c r="S27" s="11" t="n"/>
      <c r="T27" s="11" t="n"/>
      <c r="U27" s="11" t="n"/>
      <c r="V27" s="11" t="n"/>
      <c r="W27" s="11" t="n"/>
      <c r="X27" s="11" t="n"/>
      <c r="Y27" s="11" t="n"/>
      <c r="Z27" s="11" t="n"/>
      <c r="AA27" s="11" t="n"/>
      <c r="AB27" s="11" t="n"/>
      <c r="AC27" s="11" t="n"/>
      <c r="AD27" s="11" t="n"/>
      <c r="AE27" s="11" t="n"/>
      <c r="AF27" s="11" t="n"/>
      <c r="AG27" s="11" t="n"/>
      <c r="AH27" s="11" t="n"/>
      <c r="AI27" s="16">
        <f>C27</f>
        <v/>
      </c>
      <c r="AJ27" s="1" t="n"/>
      <c r="AK27" s="1" t="n"/>
      <c r="AL27" s="1" t="n"/>
      <c r="AM27" s="1" t="n"/>
      <c r="AN27" s="1" t="n">
        <v>2</v>
      </c>
      <c r="AO27" s="1" t="n">
        <v>2</v>
      </c>
      <c r="AP27" s="1" t="n"/>
      <c r="AQ27" s="1" t="n"/>
      <c r="AR27" s="1" t="n"/>
      <c r="AS27" s="1" t="n"/>
      <c r="AT27" s="1" t="n"/>
    </row>
    <row r="28">
      <c r="B28" s="7" t="inlineStr">
        <is>
          <t>electron transfer</t>
        </is>
      </c>
      <c r="C28" s="7" t="inlineStr">
        <is>
          <t>xhyd</t>
        </is>
      </c>
      <c r="D28" s="7" t="inlineStr">
        <is>
          <t>nadh + nadp &lt;=&gt; nadph + nad</t>
        </is>
      </c>
      <c r="F28" s="4" t="n"/>
      <c r="G28" s="4" t="n"/>
      <c r="H28" s="4" t="n"/>
      <c r="I28" s="4" t="n"/>
      <c r="J28" s="4" t="n"/>
      <c r="K28" s="4" t="n"/>
      <c r="L28" s="4" t="n"/>
      <c r="M28" s="11" t="n">
        <v>1</v>
      </c>
      <c r="N28" s="11" t="n">
        <v>-1</v>
      </c>
      <c r="O28" s="11" t="n">
        <v>-1</v>
      </c>
      <c r="P28" s="11" t="n">
        <v>1</v>
      </c>
      <c r="Q28" s="11" t="n"/>
      <c r="R28" s="11" t="n"/>
      <c r="S28" s="11" t="n"/>
      <c r="T28" s="11" t="n"/>
      <c r="U28" s="11" t="n"/>
      <c r="V28" s="11" t="n"/>
      <c r="W28" s="11" t="n"/>
      <c r="X28" s="11" t="n"/>
      <c r="Y28" s="11" t="n"/>
      <c r="Z28" s="11" t="n"/>
      <c r="AA28" s="11" t="n"/>
      <c r="AB28" s="11" t="n"/>
      <c r="AC28" s="11" t="n"/>
      <c r="AD28" s="11" t="n"/>
      <c r="AE28" s="11" t="n"/>
      <c r="AF28" s="11" t="n"/>
      <c r="AG28" s="11" t="n"/>
      <c r="AH28" s="11" t="n"/>
      <c r="AI28" s="16">
        <f>C28</f>
        <v/>
      </c>
      <c r="AJ28" s="1" t="n"/>
      <c r="AK28" s="1" t="n"/>
      <c r="AL28" s="1" t="n"/>
      <c r="AM28" s="1" t="n"/>
      <c r="AN28" s="1" t="n"/>
      <c r="AO28" s="1" t="n"/>
      <c r="AP28" s="1" t="n"/>
      <c r="AQ28" s="1" t="n"/>
      <c r="AR28" s="1" t="n"/>
      <c r="AS28" s="1" t="n">
        <v>2</v>
      </c>
      <c r="AT28" s="1" t="n"/>
      <c r="AX28" s="1" t="n">
        <v>2</v>
      </c>
    </row>
    <row r="29">
      <c r="A29" t="inlineStr">
        <is>
          <t>adhE WT</t>
        </is>
      </c>
      <c r="B29" s="8" t="inlineStr">
        <is>
          <t>ethanol production</t>
        </is>
      </c>
      <c r="C29" s="8" t="inlineStr">
        <is>
          <t>aldh</t>
        </is>
      </c>
      <c r="D29" s="8" t="inlineStr">
        <is>
          <t>accoa + nadh &lt;=&gt; coa + acald + nad</t>
        </is>
      </c>
      <c r="F29" s="4" t="n"/>
      <c r="G29" s="4" t="n"/>
      <c r="H29" s="4" t="n"/>
      <c r="I29" s="4" t="n"/>
      <c r="J29" s="4" t="n"/>
      <c r="K29" s="4" t="n"/>
      <c r="L29" s="4" t="n"/>
      <c r="M29" s="11" t="n">
        <v>1</v>
      </c>
      <c r="N29" s="11" t="n">
        <v>-1</v>
      </c>
      <c r="O29" s="11" t="n"/>
      <c r="P29" s="11" t="n"/>
      <c r="Q29" s="11" t="n"/>
      <c r="R29" s="11" t="n"/>
      <c r="S29" s="11" t="n">
        <v>1</v>
      </c>
      <c r="T29" s="11" t="n">
        <v>-1</v>
      </c>
      <c r="U29" s="11" t="n"/>
      <c r="V29" s="11" t="n"/>
      <c r="W29" s="11" t="n"/>
      <c r="X29" s="11" t="n"/>
      <c r="Y29" s="11" t="n"/>
      <c r="Z29" s="11" t="n"/>
      <c r="AA29" s="11" t="n"/>
      <c r="AB29" s="11" t="n"/>
      <c r="AC29" s="11" t="n"/>
      <c r="AD29" s="11" t="n"/>
      <c r="AE29" s="11" t="n"/>
      <c r="AF29" s="11" t="n"/>
      <c r="AG29" s="11" t="n">
        <v>1</v>
      </c>
      <c r="AH29" s="11" t="n"/>
      <c r="AI29" s="16">
        <f>C29</f>
        <v/>
      </c>
      <c r="AJ29" s="1" t="n"/>
      <c r="AK29" s="1" t="n"/>
      <c r="AL29" s="1" t="n">
        <v>2</v>
      </c>
      <c r="AM29" s="1" t="n">
        <v>2</v>
      </c>
      <c r="AN29" s="1" t="n">
        <v>2</v>
      </c>
      <c r="AO29" s="1" t="n"/>
      <c r="AP29" s="1" t="n"/>
      <c r="AQ29" s="1" t="n">
        <v>2</v>
      </c>
      <c r="AR29" s="1" t="n"/>
      <c r="AS29" s="1" t="n"/>
      <c r="AT29" s="1" t="n">
        <v>2</v>
      </c>
      <c r="AU29" s="1" t="n">
        <v>2</v>
      </c>
      <c r="AV29" s="1" t="n">
        <v>2</v>
      </c>
      <c r="AW29" s="1" t="n">
        <v>2</v>
      </c>
      <c r="AX29" s="1" t="n">
        <v>2</v>
      </c>
    </row>
    <row r="30">
      <c r="A30" t="inlineStr">
        <is>
          <t>adhE PROSS</t>
        </is>
      </c>
      <c r="B30" s="8" t="inlineStr">
        <is>
          <t>ethanol production</t>
        </is>
      </c>
      <c r="C30" s="8" t="inlineStr">
        <is>
          <t>aldhp</t>
        </is>
      </c>
      <c r="D30" s="8" t="inlineStr">
        <is>
          <t>accoa + nadph &lt;=&gt; coa + acald + nadp</t>
        </is>
      </c>
      <c r="E30" s="1" t="n">
        <v>2</v>
      </c>
      <c r="F30" s="4" t="n"/>
      <c r="G30" s="4" t="n"/>
      <c r="H30" s="4" t="n"/>
      <c r="I30" s="4" t="n"/>
      <c r="J30" s="4" t="n"/>
      <c r="K30" s="4" t="n"/>
      <c r="L30" s="4" t="n"/>
      <c r="M30" s="11" t="n"/>
      <c r="N30" s="11" t="n"/>
      <c r="O30" s="11" t="n">
        <v>1</v>
      </c>
      <c r="P30" s="11" t="n">
        <v>-1</v>
      </c>
      <c r="Q30" s="11" t="n"/>
      <c r="R30" s="11" t="n"/>
      <c r="S30" s="11" t="n">
        <v>1</v>
      </c>
      <c r="T30" s="11" t="n">
        <v>-1</v>
      </c>
      <c r="U30" s="11" t="n"/>
      <c r="V30" s="11" t="n"/>
      <c r="W30" s="11" t="n"/>
      <c r="X30" s="11" t="n"/>
      <c r="Y30" s="11" t="n"/>
      <c r="Z30" s="11" t="n"/>
      <c r="AA30" s="11" t="n"/>
      <c r="AB30" s="11" t="n"/>
      <c r="AC30" s="11" t="n"/>
      <c r="AD30" s="11" t="n"/>
      <c r="AE30" s="11" t="n"/>
      <c r="AF30" s="11" t="n"/>
      <c r="AG30" s="11" t="n">
        <v>1</v>
      </c>
      <c r="AH30" s="11" t="n"/>
      <c r="AI30" s="16">
        <f>C30</f>
        <v/>
      </c>
      <c r="AJ30" s="1" t="n">
        <v>2</v>
      </c>
      <c r="AK30" s="1" t="n"/>
      <c r="AL30" s="1" t="n"/>
      <c r="AM30" s="1" t="n"/>
      <c r="AN30" s="1" t="n"/>
      <c r="AO30" s="1" t="n">
        <v>2</v>
      </c>
      <c r="AP30" s="1" t="n"/>
      <c r="AQ30" s="1" t="n"/>
      <c r="AR30" s="1" t="n"/>
      <c r="AS30" s="1" t="n"/>
      <c r="AT30" s="1" t="n"/>
    </row>
    <row r="31">
      <c r="A31" t="inlineStr">
        <is>
          <t>adhE WT</t>
        </is>
      </c>
      <c r="B31" s="8" t="inlineStr">
        <is>
          <t>ethanol production</t>
        </is>
      </c>
      <c r="C31" s="8" t="inlineStr">
        <is>
          <t>adh</t>
        </is>
      </c>
      <c r="D31" s="8" t="inlineStr">
        <is>
          <t>acald + nadh &lt;=&gt; nad + etoh</t>
        </is>
      </c>
      <c r="F31" s="4" t="n"/>
      <c r="G31" s="4" t="n">
        <v>1</v>
      </c>
      <c r="H31" s="4" t="n"/>
      <c r="I31" s="4" t="n"/>
      <c r="J31" s="4" t="n"/>
      <c r="K31" s="4" t="n"/>
      <c r="L31" s="4" t="n"/>
      <c r="M31" s="11" t="n">
        <v>1</v>
      </c>
      <c r="N31" s="11" t="n">
        <v>-1</v>
      </c>
      <c r="O31" s="11" t="n"/>
      <c r="P31" s="11" t="n"/>
      <c r="Q31" s="11" t="n"/>
      <c r="R31" s="11" t="n"/>
      <c r="S31" s="11" t="n"/>
      <c r="T31" s="11" t="n"/>
      <c r="U31" s="11" t="n"/>
      <c r="V31" s="11" t="n"/>
      <c r="W31" s="11" t="n"/>
      <c r="X31" s="11" t="n"/>
      <c r="Y31" s="11" t="n"/>
      <c r="Z31" s="11" t="n"/>
      <c r="AA31" s="11" t="n"/>
      <c r="AB31" s="11" t="n"/>
      <c r="AC31" s="11" t="n"/>
      <c r="AD31" s="11" t="n"/>
      <c r="AE31" s="11" t="n"/>
      <c r="AF31" s="11" t="n"/>
      <c r="AG31" s="11" t="n">
        <v>-1</v>
      </c>
      <c r="AH31" s="11" t="n"/>
      <c r="AI31" s="16">
        <f>C31</f>
        <v/>
      </c>
      <c r="AJ31" s="1" t="n"/>
      <c r="AK31" s="1" t="n"/>
      <c r="AL31" s="1" t="n"/>
      <c r="AM31" s="1" t="n"/>
      <c r="AN31" s="1" t="n"/>
      <c r="AO31" s="1" t="n"/>
      <c r="AP31" s="1" t="n">
        <v>2</v>
      </c>
      <c r="AQ31" s="1" t="n"/>
      <c r="AR31" s="1" t="n"/>
      <c r="AS31" s="1" t="n"/>
      <c r="AT31" s="1" t="n">
        <v>2</v>
      </c>
      <c r="AU31" s="1" t="n">
        <v>2</v>
      </c>
      <c r="AV31" s="1" t="n">
        <v>2</v>
      </c>
      <c r="AW31" s="1" t="n">
        <v>2</v>
      </c>
    </row>
    <row r="32">
      <c r="A32" t="inlineStr">
        <is>
          <t>adhE mutants, adhA</t>
        </is>
      </c>
      <c r="B32" s="8" t="inlineStr">
        <is>
          <t>ethanol production</t>
        </is>
      </c>
      <c r="C32" s="8" t="inlineStr">
        <is>
          <t>adhp</t>
        </is>
      </c>
      <c r="D32" s="8" t="inlineStr">
        <is>
          <t>acald + nadph &lt;=&gt; nadp + etoh</t>
        </is>
      </c>
      <c r="E32" s="1" t="n">
        <v>2</v>
      </c>
      <c r="F32" s="4" t="n"/>
      <c r="G32" s="4" t="n">
        <v>1</v>
      </c>
      <c r="H32" s="4" t="n"/>
      <c r="I32" s="4" t="n"/>
      <c r="J32" s="4" t="n"/>
      <c r="K32" s="4" t="n"/>
      <c r="L32" s="4" t="n"/>
      <c r="M32" s="11" t="n"/>
      <c r="N32" s="11" t="n"/>
      <c r="O32" s="11" t="n">
        <v>1</v>
      </c>
      <c r="P32" s="11" t="n">
        <v>-1</v>
      </c>
      <c r="Q32" s="11" t="n"/>
      <c r="R32" s="11" t="n"/>
      <c r="S32" s="11" t="n"/>
      <c r="T32" s="11" t="n"/>
      <c r="U32" s="11" t="n"/>
      <c r="V32" s="11" t="n"/>
      <c r="W32" s="11" t="n"/>
      <c r="X32" s="11" t="n"/>
      <c r="Y32" s="11" t="n"/>
      <c r="Z32" s="11" t="n"/>
      <c r="AA32" s="11" t="n"/>
      <c r="AB32" s="11" t="n"/>
      <c r="AC32" s="11" t="n"/>
      <c r="AD32" s="11" t="n"/>
      <c r="AE32" s="11" t="n"/>
      <c r="AF32" s="11" t="n"/>
      <c r="AG32" s="11" t="n">
        <v>-1</v>
      </c>
      <c r="AH32" s="11" t="n"/>
      <c r="AI32" s="16">
        <f>C32</f>
        <v/>
      </c>
      <c r="AJ32" s="1" t="n">
        <v>2</v>
      </c>
      <c r="AK32" s="1" t="n"/>
      <c r="AL32" s="1" t="n"/>
      <c r="AM32" s="1" t="n">
        <v>2</v>
      </c>
      <c r="AN32" s="1" t="n">
        <v>2</v>
      </c>
      <c r="AO32" s="1" t="n">
        <v>2</v>
      </c>
      <c r="AP32" s="1" t="n"/>
      <c r="AQ32" s="1" t="n">
        <v>2</v>
      </c>
      <c r="AR32" s="1" t="n"/>
      <c r="AS32" s="1" t="n">
        <v>2</v>
      </c>
      <c r="AT32" s="1" t="n"/>
      <c r="AX32" s="1" t="n">
        <v>2</v>
      </c>
    </row>
    <row r="33">
      <c r="B33" s="8" t="inlineStr">
        <is>
          <t>ethanol production</t>
        </is>
      </c>
      <c r="C33" s="8" t="inlineStr">
        <is>
          <t>adhfd</t>
        </is>
      </c>
      <c r="D33" s="8" t="inlineStr">
        <is>
          <t>acald + 2 fdred &lt;=&gt; 2 fdox + etoh</t>
        </is>
      </c>
      <c r="F33" s="4" t="n"/>
      <c r="G33" s="4" t="n">
        <v>1</v>
      </c>
      <c r="H33" s="4" t="n"/>
      <c r="I33" s="4" t="n"/>
      <c r="J33" s="4" t="n"/>
      <c r="K33" s="4" t="n"/>
      <c r="L33" s="4" t="n"/>
      <c r="M33" s="11" t="n"/>
      <c r="N33" s="11" t="n"/>
      <c r="O33" s="11" t="n"/>
      <c r="P33" s="11" t="n"/>
      <c r="Q33" s="11" t="n">
        <v>2</v>
      </c>
      <c r="R33" s="11" t="n">
        <v>-2</v>
      </c>
      <c r="S33" s="11" t="n"/>
      <c r="T33" s="11" t="n"/>
      <c r="U33" s="11" t="n"/>
      <c r="V33" s="11" t="n"/>
      <c r="W33" s="11" t="n"/>
      <c r="X33" s="11" t="n"/>
      <c r="Y33" s="11" t="n"/>
      <c r="Z33" s="11" t="n"/>
      <c r="AA33" s="11" t="n"/>
      <c r="AB33" s="11" t="n"/>
      <c r="AC33" s="11" t="n"/>
      <c r="AD33" s="11" t="n"/>
      <c r="AE33" s="11" t="n"/>
      <c r="AF33" s="11" t="n"/>
      <c r="AG33" s="11" t="n">
        <v>-1</v>
      </c>
      <c r="AH33" s="11" t="n"/>
      <c r="AI33" s="16">
        <f>C33</f>
        <v/>
      </c>
      <c r="AJ33" s="1" t="n"/>
      <c r="AK33" s="1" t="n"/>
      <c r="AL33" s="1" t="n">
        <v>2</v>
      </c>
      <c r="AM33" s="1" t="n"/>
      <c r="AN33" s="1" t="n"/>
      <c r="AO33" s="1" t="n"/>
      <c r="AP33" s="1" t="n"/>
      <c r="AQ33" s="1" t="n"/>
      <c r="AR33" s="1" t="n"/>
      <c r="AS33" s="1" t="n"/>
      <c r="AT33" s="1" t="n"/>
    </row>
    <row r="34">
      <c r="A34" t="inlineStr">
        <is>
          <t>adhE with substrate channeling</t>
        </is>
      </c>
      <c r="B34" s="8" t="inlineStr">
        <is>
          <t>ethanol production</t>
        </is>
      </c>
      <c r="C34" s="8" t="inlineStr">
        <is>
          <t>aldh_adh</t>
        </is>
      </c>
      <c r="D34" s="8" t="inlineStr">
        <is>
          <t>accoa + 2 nadh &lt;=&gt; coa + 2 nad + etoh</t>
        </is>
      </c>
      <c r="F34" s="4" t="n"/>
      <c r="G34" s="4" t="n">
        <v>1</v>
      </c>
      <c r="H34" s="4" t="n"/>
      <c r="I34" s="4" t="n"/>
      <c r="J34" s="4" t="n"/>
      <c r="K34" s="4" t="n"/>
      <c r="L34" s="4" t="n"/>
      <c r="M34" s="11" t="n">
        <v>2</v>
      </c>
      <c r="N34" s="11" t="n">
        <v>-2</v>
      </c>
      <c r="O34" s="11" t="n"/>
      <c r="P34" s="11" t="n"/>
      <c r="Q34" s="11" t="n"/>
      <c r="R34" s="11" t="n"/>
      <c r="S34" s="11" t="n">
        <v>1</v>
      </c>
      <c r="T34" s="11" t="n">
        <v>-1</v>
      </c>
      <c r="U34" s="11" t="n"/>
      <c r="V34" s="11" t="n"/>
      <c r="W34" s="11" t="n"/>
      <c r="X34" s="11" t="n"/>
      <c r="Y34" s="11" t="n"/>
      <c r="Z34" s="11" t="n"/>
      <c r="AA34" s="11" t="n"/>
      <c r="AB34" s="11" t="n"/>
      <c r="AC34" s="11" t="n"/>
      <c r="AD34" s="11" t="n"/>
      <c r="AE34" s="11" t="n"/>
      <c r="AF34" s="11" t="n"/>
      <c r="AG34" s="11" t="n"/>
      <c r="AH34" s="11" t="n"/>
      <c r="AI34" s="16">
        <f>C34</f>
        <v/>
      </c>
      <c r="AJ34" s="1" t="n"/>
      <c r="AK34" s="1" t="n"/>
      <c r="AL34" s="1" t="n"/>
      <c r="AM34" s="1" t="n"/>
      <c r="AN34" s="1" t="n"/>
      <c r="AO34" s="1" t="n"/>
      <c r="AP34" s="1" t="n"/>
      <c r="AQ34" s="1" t="n"/>
      <c r="AR34" s="1" t="n">
        <v>2</v>
      </c>
      <c r="AS34" s="1" t="n"/>
      <c r="AT34" s="1" t="n"/>
    </row>
    <row r="35">
      <c r="A35" t="inlineStr">
        <is>
          <t>adhE with substrate channeling</t>
        </is>
      </c>
      <c r="B35" s="8" t="inlineStr">
        <is>
          <t>ethanol production</t>
        </is>
      </c>
      <c r="C35" s="8" t="inlineStr">
        <is>
          <t>aldhp_adhp</t>
        </is>
      </c>
      <c r="D35" s="8" t="inlineStr">
        <is>
          <t>accoa + 2 nadph &lt;=&gt; coa + 2 nadp + etoh</t>
        </is>
      </c>
      <c r="F35" s="4" t="n"/>
      <c r="G35" s="4" t="n">
        <v>1</v>
      </c>
      <c r="H35" s="4" t="n"/>
      <c r="I35" s="4" t="n"/>
      <c r="J35" s="4" t="n"/>
      <c r="K35" s="4" t="n"/>
      <c r="L35" s="4" t="n"/>
      <c r="M35" s="11" t="n"/>
      <c r="N35" s="11" t="n"/>
      <c r="O35" s="11" t="n">
        <v>2</v>
      </c>
      <c r="P35" s="11" t="n">
        <v>-2</v>
      </c>
      <c r="Q35" s="11" t="n"/>
      <c r="R35" s="11" t="n"/>
      <c r="S35" s="11" t="n">
        <v>1</v>
      </c>
      <c r="T35" s="11" t="n">
        <v>-1</v>
      </c>
      <c r="U35" s="11" t="n"/>
      <c r="V35" s="11" t="n"/>
      <c r="W35" s="11" t="n"/>
      <c r="X35" s="11" t="n"/>
      <c r="Y35" s="11" t="n"/>
      <c r="Z35" s="11" t="n"/>
      <c r="AA35" s="11" t="n"/>
      <c r="AB35" s="11" t="n"/>
      <c r="AC35" s="11" t="n"/>
      <c r="AD35" s="11" t="n"/>
      <c r="AE35" s="11" t="n"/>
      <c r="AF35" s="11" t="n"/>
      <c r="AG35" s="11" t="n"/>
      <c r="AH35" s="11" t="n"/>
      <c r="AI35" s="16">
        <f>C35</f>
        <v/>
      </c>
      <c r="AJ35" s="1" t="n"/>
      <c r="AK35" s="1" t="n">
        <v>2</v>
      </c>
      <c r="AL35" s="1" t="n"/>
      <c r="AM35" s="1" t="n"/>
      <c r="AN35" s="1" t="n"/>
      <c r="AO35" s="1" t="n"/>
      <c r="AP35" s="1" t="n"/>
      <c r="AQ35" s="1" t="n"/>
      <c r="AR35" s="1" t="n"/>
      <c r="AS35" s="1" t="n"/>
      <c r="AT35" s="1" t="n"/>
    </row>
    <row r="37">
      <c r="D37" s="8" t="inlineStr">
        <is>
          <t>Net result --&gt;</t>
        </is>
      </c>
      <c r="F37">
        <f>SUMPRODUCT($E$6:$E$35,F6:F35)</f>
        <v/>
      </c>
      <c r="G37">
        <f>SUMPRODUCT($E$6:$E$35,G6:G35)</f>
        <v/>
      </c>
      <c r="H37">
        <f>SUMPRODUCT($E$6:$E$35,H6:H35)</f>
        <v/>
      </c>
      <c r="I37">
        <f>SUMPRODUCT($E$6:$E$35,I6:I35)</f>
        <v/>
      </c>
      <c r="J37">
        <f>SUMPRODUCT($E$6:$E$35,J6:J35)</f>
        <v/>
      </c>
      <c r="K37">
        <f>SUMPRODUCT($E$6:$E$35,K6:K35)</f>
        <v/>
      </c>
      <c r="L37">
        <f>SUMPRODUCT($E$6:$E$35,L6:L35)</f>
        <v/>
      </c>
      <c r="M37">
        <f>SUMPRODUCT($E$6:$E$35,M6:M35)</f>
        <v/>
      </c>
      <c r="N37">
        <f>SUMPRODUCT($E$6:$E$35,N6:N35)</f>
        <v/>
      </c>
      <c r="O37">
        <f>SUMPRODUCT($E$6:$E$35,O6:O35)</f>
        <v/>
      </c>
      <c r="P37">
        <f>SUMPRODUCT($E$6:$E$35,P6:P35)</f>
        <v/>
      </c>
      <c r="Q37">
        <f>SUMPRODUCT($E$6:$E$35,Q6:Q35)</f>
        <v/>
      </c>
      <c r="R37">
        <f>SUMPRODUCT($E$6:$E$35,R6:R35)</f>
        <v/>
      </c>
      <c r="S37">
        <f>SUMPRODUCT($E$6:$E$35,S6:S35)</f>
        <v/>
      </c>
      <c r="T37">
        <f>SUMPRODUCT($E$6:$E$35,T6:T35)</f>
        <v/>
      </c>
      <c r="U37">
        <f>SUMPRODUCT($E$6:$E$35,U6:U35)</f>
        <v/>
      </c>
      <c r="V37">
        <f>SUMPRODUCT($E$6:$E$35,V6:V35)</f>
        <v/>
      </c>
      <c r="W37">
        <f>SUMPRODUCT($E$6:$E$35,W6:W35)</f>
        <v/>
      </c>
      <c r="X37">
        <f>SUMPRODUCT($E$6:$E$35,X6:X35)</f>
        <v/>
      </c>
      <c r="Y37">
        <f>SUMPRODUCT($E$6:$E$35,Y6:Y35)</f>
        <v/>
      </c>
      <c r="Z37">
        <f>SUMPRODUCT($E$6:$E$35,Z6:Z35)</f>
        <v/>
      </c>
      <c r="AA37">
        <f>SUMPRODUCT($E$6:$E$35,AA6:AA35)</f>
        <v/>
      </c>
      <c r="AB37">
        <f>SUMPRODUCT($E$6:$E$35,AB6:AB35)</f>
        <v/>
      </c>
      <c r="AC37">
        <f>SUMPRODUCT($E$6:$E$35,AC6:AC35)</f>
        <v/>
      </c>
      <c r="AD37">
        <f>SUMPRODUCT($E$6:$E$35,AD6:AD35)</f>
        <v/>
      </c>
      <c r="AE37">
        <f>SUMPRODUCT($E$6:$E$35,AE6:AE35)</f>
        <v/>
      </c>
      <c r="AF37">
        <f>SUMPRODUCT($E$6:$E$35,AF6:AF35)</f>
        <v/>
      </c>
      <c r="AG37">
        <f>SUMPRODUCT($E$6:$E$35,AG6:AG35)</f>
        <v/>
      </c>
      <c r="AH37">
        <f>SUMPRODUCT($E$6:$E$35,AH6:AH35)</f>
        <v/>
      </c>
    </row>
  </sheetData>
  <conditionalFormatting sqref="AJ4:AX4">
    <cfRule type="colorScale" priority="20">
      <colorScale>
        <cfvo type="min"/>
        <cfvo type="percentile" val="50"/>
        <cfvo type="max"/>
        <color rgb="FFF8696B"/>
        <color rgb="FFFFEB84"/>
        <color rgb="FF63BE7B"/>
      </colorScale>
    </cfRule>
  </conditionalFormatting>
  <conditionalFormatting sqref="AJ6:AX35">
    <cfRule type="colorScale" priority="19">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31"/>
  <sheetViews>
    <sheetView topLeftCell="C1" workbookViewId="0">
      <selection activeCell="D35" sqref="D35"/>
    </sheetView>
  </sheetViews>
  <sheetFormatPr baseColWidth="8" defaultRowHeight="14.4"/>
  <cols>
    <col width="12.44140625" customWidth="1" min="1" max="1"/>
    <col width="27.21875" customWidth="1" min="2" max="2"/>
    <col width="10.88671875" bestFit="1" customWidth="1" min="3" max="3"/>
    <col width="99.77734375" customWidth="1" min="6" max="6"/>
  </cols>
  <sheetData>
    <row r="1">
      <c r="A1" s="3" t="n"/>
      <c r="B1" s="3" t="n"/>
      <c r="C1" s="3" t="n"/>
      <c r="D1" s="3" t="inlineStr">
        <is>
          <t>Concentration (mM)</t>
        </is>
      </c>
      <c r="E1" s="3" t="n"/>
      <c r="F1" s="3" t="n"/>
    </row>
    <row r="2">
      <c r="A2" s="3" t="inlineStr">
        <is>
          <t>CompoundID</t>
        </is>
      </c>
      <c r="B2" s="3" t="inlineStr">
        <is>
          <t>Name</t>
        </is>
      </c>
      <c r="C2" s="3" t="inlineStr">
        <is>
          <t>Identifiers</t>
        </is>
      </c>
      <c r="D2" s="17" t="inlineStr">
        <is>
          <t>Min</t>
        </is>
      </c>
      <c r="E2" s="17" t="inlineStr">
        <is>
          <t>Max</t>
        </is>
      </c>
      <c r="F2" s="3" t="inlineStr">
        <is>
          <t>Notes</t>
        </is>
      </c>
    </row>
    <row r="3">
      <c r="A3" t="inlineStr">
        <is>
          <t>glc</t>
        </is>
      </c>
      <c r="B3" t="inlineStr">
        <is>
          <t>glucose</t>
        </is>
      </c>
      <c r="C3" t="inlineStr">
        <is>
          <t>kegg:C00031</t>
        </is>
      </c>
      <c r="D3" t="n">
        <v>10</v>
      </c>
      <c r="E3" t="n">
        <v>10</v>
      </c>
    </row>
    <row r="4">
      <c r="A4" t="inlineStr">
        <is>
          <t>g6p</t>
        </is>
      </c>
      <c r="B4" t="inlineStr">
        <is>
          <t>glucose-6-phosphate</t>
        </is>
      </c>
      <c r="C4" t="inlineStr">
        <is>
          <t>kegg:C00092</t>
        </is>
      </c>
      <c r="D4" t="n">
        <v>0.001</v>
      </c>
      <c r="E4" t="n">
        <v>10</v>
      </c>
    </row>
    <row r="5">
      <c r="A5" t="inlineStr">
        <is>
          <t>f6p</t>
        </is>
      </c>
      <c r="B5" t="inlineStr">
        <is>
          <t>fructose-6-phosphate</t>
        </is>
      </c>
      <c r="C5" t="inlineStr">
        <is>
          <t>kegg:C00085</t>
        </is>
      </c>
      <c r="D5" t="n">
        <v>0.001</v>
      </c>
      <c r="E5" t="n">
        <v>10</v>
      </c>
    </row>
    <row r="6">
      <c r="A6" t="inlineStr">
        <is>
          <t>fbp</t>
        </is>
      </c>
      <c r="B6" t="inlineStr">
        <is>
          <t>fructose-1,6-bisphosphate</t>
        </is>
      </c>
      <c r="C6" t="inlineStr">
        <is>
          <t>kegg:C00354</t>
        </is>
      </c>
      <c r="D6" t="n">
        <v>0.001</v>
      </c>
      <c r="E6" t="n">
        <v>10</v>
      </c>
    </row>
    <row r="7">
      <c r="A7" t="inlineStr">
        <is>
          <t>dhap</t>
        </is>
      </c>
      <c r="B7" t="inlineStr">
        <is>
          <t>dihydroxyacetonephosphate</t>
        </is>
      </c>
      <c r="C7" t="inlineStr">
        <is>
          <t>kegg:C00111</t>
        </is>
      </c>
      <c r="D7" t="n">
        <v>0.001</v>
      </c>
      <c r="E7" t="n">
        <v>10</v>
      </c>
    </row>
    <row r="8">
      <c r="A8" t="inlineStr">
        <is>
          <t>g3p</t>
        </is>
      </c>
      <c r="B8" t="inlineStr">
        <is>
          <t>glycerol-3-phophate</t>
        </is>
      </c>
      <c r="C8" t="inlineStr">
        <is>
          <t>kegg:C00118</t>
        </is>
      </c>
      <c r="D8" t="n">
        <v>0.001</v>
      </c>
      <c r="E8" t="n">
        <v>10</v>
      </c>
    </row>
    <row r="9">
      <c r="A9" t="inlineStr">
        <is>
          <t>bpg</t>
        </is>
      </c>
      <c r="B9" t="inlineStr">
        <is>
          <t>bisphosphoglycerate</t>
        </is>
      </c>
      <c r="C9" t="inlineStr">
        <is>
          <t>kegg:C00236</t>
        </is>
      </c>
      <c r="D9" t="n">
        <v>0.001</v>
      </c>
      <c r="E9" t="n">
        <v>10</v>
      </c>
    </row>
    <row r="10">
      <c r="A10" t="inlineStr">
        <is>
          <t>3pg</t>
        </is>
      </c>
      <c r="B10" t="inlineStr">
        <is>
          <t>3-phosphoglycerate</t>
        </is>
      </c>
      <c r="C10" t="inlineStr">
        <is>
          <t>kegg:C00197</t>
        </is>
      </c>
      <c r="D10" t="n">
        <v>0.001</v>
      </c>
      <c r="E10" t="n">
        <v>10</v>
      </c>
    </row>
    <row r="11">
      <c r="A11" t="inlineStr">
        <is>
          <t>2pg</t>
        </is>
      </c>
      <c r="B11" t="inlineStr">
        <is>
          <t>2-phosphoglycerate</t>
        </is>
      </c>
      <c r="C11" t="inlineStr">
        <is>
          <t>kegg:C00631</t>
        </is>
      </c>
      <c r="D11" t="n">
        <v>0.001</v>
      </c>
      <c r="E11" t="n">
        <v>10</v>
      </c>
    </row>
    <row r="12">
      <c r="A12" t="inlineStr">
        <is>
          <t>pep</t>
        </is>
      </c>
      <c r="B12" t="inlineStr">
        <is>
          <t>phosphoenolpyruvate</t>
        </is>
      </c>
      <c r="C12" t="inlineStr">
        <is>
          <t>kegg:C00074</t>
        </is>
      </c>
      <c r="D12" t="n">
        <v>0.001</v>
      </c>
      <c r="E12" t="n">
        <v>10</v>
      </c>
    </row>
    <row r="13">
      <c r="A13" t="inlineStr">
        <is>
          <t>oaa</t>
        </is>
      </c>
      <c r="B13" t="inlineStr">
        <is>
          <t>oxaloacetate</t>
        </is>
      </c>
      <c r="C13" t="inlineStr">
        <is>
          <t>kegg:C00036</t>
        </is>
      </c>
      <c r="D13" t="n">
        <v>0.001</v>
      </c>
      <c r="E13" t="n">
        <v>10</v>
      </c>
    </row>
    <row r="14">
      <c r="A14" t="inlineStr">
        <is>
          <t>mal</t>
        </is>
      </c>
      <c r="B14" t="inlineStr">
        <is>
          <t>malate</t>
        </is>
      </c>
      <c r="C14" t="inlineStr">
        <is>
          <t>kegg:C00149</t>
        </is>
      </c>
      <c r="D14" t="n">
        <v>0.001</v>
      </c>
      <c r="E14" t="n">
        <v>10</v>
      </c>
    </row>
    <row r="15">
      <c r="A15" t="inlineStr">
        <is>
          <t>pyr</t>
        </is>
      </c>
      <c r="B15" t="inlineStr">
        <is>
          <t>pyruvate</t>
        </is>
      </c>
      <c r="C15" t="inlineStr">
        <is>
          <t>kegg:C00022</t>
        </is>
      </c>
      <c r="D15" t="n">
        <v>0.001</v>
      </c>
      <c r="E15" t="n">
        <v>10</v>
      </c>
    </row>
    <row r="16">
      <c r="A16" t="inlineStr">
        <is>
          <t>accoa</t>
        </is>
      </c>
      <c r="B16" t="inlineStr">
        <is>
          <t>acetyl-coa</t>
        </is>
      </c>
      <c r="C16" t="inlineStr">
        <is>
          <t>kegg:C00024</t>
        </is>
      </c>
      <c r="D16" t="n">
        <v>0.001</v>
      </c>
      <c r="E16" t="n">
        <v>10</v>
      </c>
      <c r="F16" t="inlineStr">
        <is>
          <t>In my previous analysis I set this to a max of 1, not 10</t>
        </is>
      </c>
    </row>
    <row r="17">
      <c r="A17" t="inlineStr">
        <is>
          <t>coa</t>
        </is>
      </c>
      <c r="B17" t="inlineStr">
        <is>
          <t>coa</t>
        </is>
      </c>
      <c r="C17" t="inlineStr">
        <is>
          <t>kegg:C00010</t>
        </is>
      </c>
      <c r="D17" t="n">
        <v>1</v>
      </c>
      <c r="E17" t="n">
        <v>1</v>
      </c>
    </row>
    <row r="18">
      <c r="A18" t="inlineStr">
        <is>
          <t>acald</t>
        </is>
      </c>
      <c r="B18" t="inlineStr">
        <is>
          <t>acetaldehyde</t>
        </is>
      </c>
      <c r="C18" t="inlineStr">
        <is>
          <t>kegg:C00084</t>
        </is>
      </c>
      <c r="D18" t="n">
        <v>0.001</v>
      </c>
      <c r="E18" t="n">
        <v>10</v>
      </c>
    </row>
    <row r="19">
      <c r="A19" t="inlineStr">
        <is>
          <t>etoh</t>
        </is>
      </c>
      <c r="B19" t="inlineStr">
        <is>
          <t>ethanol</t>
        </is>
      </c>
      <c r="C19" t="inlineStr">
        <is>
          <t>kegg:C00469</t>
        </is>
      </c>
      <c r="D19" t="n">
        <v>2000</v>
      </c>
      <c r="E19" t="n">
        <v>2000</v>
      </c>
    </row>
    <row r="20">
      <c r="A20" t="inlineStr">
        <is>
          <t>nadph</t>
        </is>
      </c>
      <c r="B20" t="inlineStr">
        <is>
          <t>nadph</t>
        </is>
      </c>
      <c r="C20" t="inlineStr">
        <is>
          <t>kegg:C00005</t>
        </is>
      </c>
      <c r="D20" t="n">
        <v>0.001</v>
      </c>
      <c r="E20" t="n">
        <v>10</v>
      </c>
    </row>
    <row r="21">
      <c r="A21" t="inlineStr">
        <is>
          <t>nadp</t>
        </is>
      </c>
      <c r="B21" t="inlineStr">
        <is>
          <t>nadp</t>
        </is>
      </c>
      <c r="C21" t="inlineStr">
        <is>
          <t>kegg:C00006</t>
        </is>
      </c>
      <c r="D21" t="n">
        <v>0.1</v>
      </c>
      <c r="E21" t="n">
        <v>0.1</v>
      </c>
    </row>
    <row r="22">
      <c r="A22" t="inlineStr">
        <is>
          <t>nadh</t>
        </is>
      </c>
      <c r="B22" t="inlineStr">
        <is>
          <t>nadh</t>
        </is>
      </c>
      <c r="C22" t="inlineStr">
        <is>
          <t>kegg:C00004</t>
        </is>
      </c>
      <c r="D22" t="n">
        <v>0.001</v>
      </c>
      <c r="E22" t="n">
        <v>10</v>
      </c>
    </row>
    <row r="23">
      <c r="A23" t="inlineStr">
        <is>
          <t>nad</t>
        </is>
      </c>
      <c r="B23" t="inlineStr">
        <is>
          <t>nad</t>
        </is>
      </c>
      <c r="C23" t="inlineStr">
        <is>
          <t>kegg:C00003</t>
        </is>
      </c>
      <c r="D23" t="n">
        <v>0.1</v>
      </c>
      <c r="E23" t="n">
        <v>0.1</v>
      </c>
    </row>
    <row r="24">
      <c r="A24" t="inlineStr">
        <is>
          <t>fdred</t>
        </is>
      </c>
      <c r="B24" t="inlineStr">
        <is>
          <t>reduced ferredoxin</t>
        </is>
      </c>
      <c r="C24" t="inlineStr">
        <is>
          <t>kegg:C00138</t>
        </is>
      </c>
      <c r="D24" t="n">
        <v>0.001</v>
      </c>
      <c r="E24" t="n">
        <v>10</v>
      </c>
    </row>
    <row r="25">
      <c r="A25" t="inlineStr">
        <is>
          <t>fdox</t>
        </is>
      </c>
      <c r="B25" t="inlineStr">
        <is>
          <t>oxidized ferredoxin</t>
        </is>
      </c>
      <c r="C25" t="inlineStr">
        <is>
          <t>kegg:C00139</t>
        </is>
      </c>
      <c r="D25" t="n">
        <v>0.1</v>
      </c>
      <c r="E25" t="n">
        <v>0.1</v>
      </c>
    </row>
    <row r="26">
      <c r="A26" t="inlineStr">
        <is>
          <t>atp</t>
        </is>
      </c>
      <c r="B26" t="inlineStr">
        <is>
          <t>atp</t>
        </is>
      </c>
      <c r="C26" t="inlineStr">
        <is>
          <t>kegg:C00002</t>
        </is>
      </c>
      <c r="D26" t="n">
        <v>0.1</v>
      </c>
      <c r="E26" t="n">
        <v>10</v>
      </c>
      <c r="F26" t="inlineStr">
        <is>
          <t>ATP/ADP ratio limited to 1:1 to 100:1</t>
        </is>
      </c>
    </row>
    <row r="27">
      <c r="A27" t="inlineStr">
        <is>
          <t>adp</t>
        </is>
      </c>
      <c r="B27" t="inlineStr">
        <is>
          <t>adp</t>
        </is>
      </c>
      <c r="C27" t="inlineStr">
        <is>
          <t>kegg:C00008</t>
        </is>
      </c>
      <c r="D27" t="n">
        <v>0.1</v>
      </c>
      <c r="E27" t="n">
        <v>0.1</v>
      </c>
    </row>
    <row r="28">
      <c r="A28" t="inlineStr">
        <is>
          <t>pi</t>
        </is>
      </c>
      <c r="B28" t="inlineStr">
        <is>
          <t>phosphate</t>
        </is>
      </c>
      <c r="C28" t="inlineStr">
        <is>
          <t>kegg:C00009</t>
        </is>
      </c>
      <c r="D28" t="n">
        <v>10</v>
      </c>
      <c r="E28" t="n">
        <v>10</v>
      </c>
    </row>
    <row r="29">
      <c r="A29" t="inlineStr">
        <is>
          <t>h2o</t>
        </is>
      </c>
      <c r="B29" t="inlineStr">
        <is>
          <t>water</t>
        </is>
      </c>
      <c r="C29" t="inlineStr">
        <is>
          <t>kegg:C00001</t>
        </is>
      </c>
      <c r="D29" t="n">
        <v>55000</v>
      </c>
      <c r="E29" t="n">
        <v>55000</v>
      </c>
      <c r="F29" t="inlineStr">
        <is>
          <t>No value. Equilibrator sets this to 55M internally</t>
        </is>
      </c>
    </row>
    <row r="30">
      <c r="A30" t="inlineStr">
        <is>
          <t>h2</t>
        </is>
      </c>
      <c r="B30" t="inlineStr">
        <is>
          <t>hydrogen</t>
        </is>
      </c>
      <c r="C30" t="inlineStr">
        <is>
          <t>kegg:C00282</t>
        </is>
      </c>
      <c r="D30" t="n">
        <v>0.01</v>
      </c>
      <c r="E30" t="n">
        <v>0.01</v>
      </c>
      <c r="F30" t="inlineStr">
        <is>
          <t>Above 2 mM, h2 cycling and nadh-fnor are identical. I arbitratrily set this to 0.01 mM to show how h2 cycling could limit MDF</t>
        </is>
      </c>
    </row>
    <row r="31">
      <c r="A31" t="inlineStr">
        <is>
          <t>co2</t>
        </is>
      </c>
      <c r="B31" t="inlineStr">
        <is>
          <t>carbon dioxide</t>
        </is>
      </c>
      <c r="C31" t="inlineStr">
        <is>
          <t>kegg:C00011</t>
        </is>
      </c>
      <c r="D31" t="n">
        <v>0.001</v>
      </c>
      <c r="E31" t="n">
        <v>10</v>
      </c>
      <c r="F31" t="inlineStr">
        <is>
          <t>Free over the default 0.001-10 mM range rather than fixed. Dash et al. 2019 used a low fixed value, at which the malate shunt is infeasible; Olson et al. 2017 showed a ppdk deletion strain still produces ethanol, which requires the malate shunt, so it must be feasible. Leaving CO2 free lets each pathway sit where its own thermodynamics allow. Note that CO2 is exchanged with the gas phase, so in a real fermentation all pathways would share one value.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Daniel G. Olson</dc:creator>
  <dcterms:created xsi:type="dcterms:W3CDTF">2023-05-12T13:03:22Z</dcterms:created>
  <dcterms:modified xsi:type="dcterms:W3CDTF">2026-09-28T03:45:17Z</dcterms:modified>
  <cp:lastModifiedBy>Daniel G. Olson</cp:lastModifiedBy>
</cp:coreProperties>
</file>