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89659k\Documents\Research\ENGS 161 metabolic engineering course\2025 spring\Lectures\16 - Limits of product titer\"/>
    </mc:Choice>
  </mc:AlternateContent>
  <xr:revisionPtr revIDLastSave="0" documentId="13_ncr:1_{45A2DCD1-B90C-48BC-A074-289A9C0A3F78}" xr6:coauthVersionLast="47" xr6:coauthVersionMax="47" xr10:uidLastSave="{00000000-0000-0000-0000-000000000000}"/>
  <bookViews>
    <workbookView xWindow="-31960" yWindow="1890" windowWidth="28800" windowHeight="17030" xr2:uid="{D0F5A4BD-C55E-4D74-8D67-1450C605B764}"/>
  </bookViews>
  <sheets>
    <sheet name="Reaction" sheetId="1" r:id="rId1"/>
    <sheet name="Compoun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4" i="1" l="1"/>
  <c r="AI35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6" i="1"/>
</calcChain>
</file>

<file path=xl/sharedStrings.xml><?xml version="1.0" encoding="utf-8"?>
<sst xmlns="http://schemas.openxmlformats.org/spreadsheetml/2006/main" count="261" uniqueCount="193">
  <si>
    <t>Flux</t>
  </si>
  <si>
    <t>glucose</t>
  </si>
  <si>
    <t>pyruvate</t>
  </si>
  <si>
    <t>nadh</t>
  </si>
  <si>
    <t>nadph</t>
  </si>
  <si>
    <t>fdred</t>
  </si>
  <si>
    <t>co2</t>
  </si>
  <si>
    <t>acald</t>
  </si>
  <si>
    <t>etoh</t>
  </si>
  <si>
    <t>h2</t>
  </si>
  <si>
    <t>Gene</t>
  </si>
  <si>
    <t>hfsD</t>
  </si>
  <si>
    <t>hydA</t>
  </si>
  <si>
    <t>nfnAB</t>
  </si>
  <si>
    <t>adp</t>
  </si>
  <si>
    <t>atp</t>
  </si>
  <si>
    <t>rnf</t>
  </si>
  <si>
    <t>nfnB alone, cac_0764</t>
  </si>
  <si>
    <t>pforA</t>
  </si>
  <si>
    <t>glk</t>
  </si>
  <si>
    <t>glc + atp &lt;=&gt; g6p + adp</t>
  </si>
  <si>
    <t>pgi</t>
  </si>
  <si>
    <t>g6p &lt;=&gt; f6p</t>
  </si>
  <si>
    <t>pfk</t>
  </si>
  <si>
    <t>atp + f6p &lt;=&gt; adp + fbp</t>
  </si>
  <si>
    <t>fba</t>
  </si>
  <si>
    <t>fbp &lt;=&gt; dhap + g3p</t>
  </si>
  <si>
    <t>tpi</t>
  </si>
  <si>
    <t>dhap &lt;=&gt; g3p</t>
  </si>
  <si>
    <t>gap</t>
  </si>
  <si>
    <t>pi + nad + g3p &lt;=&gt; nadh + bpg</t>
  </si>
  <si>
    <t>pgk</t>
  </si>
  <si>
    <t>bpg + adp &lt;=&gt; 3pg + atp</t>
  </si>
  <si>
    <t>gpm</t>
  </si>
  <si>
    <t>3pg &lt;=&gt; 2pg</t>
  </si>
  <si>
    <t>eno</t>
  </si>
  <si>
    <t>2pg &lt;=&gt; pep + h2o</t>
  </si>
  <si>
    <t>pepck</t>
  </si>
  <si>
    <t>pep + adp + co2 &lt;=&gt; oaa + atp</t>
  </si>
  <si>
    <t>mdh</t>
  </si>
  <si>
    <t>oaa + nadh &lt;=&gt; nad + mal</t>
  </si>
  <si>
    <t>mae</t>
  </si>
  <si>
    <t>mal + nadp &lt;=&gt; nadph + pyr + co2</t>
  </si>
  <si>
    <t>pfor</t>
  </si>
  <si>
    <t>coa + pyr + 2 fdox &lt;=&gt; accoa + co2 + 2 fdred</t>
  </si>
  <si>
    <t>2 fdred + nad + 0.5 adp + 0.5 pi &lt;=&gt; 0.5 atp + 0.5 h2o + nadh + 2 fdox</t>
  </si>
  <si>
    <t>aldh</t>
  </si>
  <si>
    <t>accoa + nadh &lt;=&gt; coa + acald + nad</t>
  </si>
  <si>
    <t>adhp</t>
  </si>
  <si>
    <t>acald + nadph &lt;=&gt; nadp + etoh</t>
  </si>
  <si>
    <t>bif-hyd</t>
  </si>
  <si>
    <t>2 fdred + nadh &lt;=&gt; 2 fdox + 2 h2 + nad</t>
  </si>
  <si>
    <t>hyd</t>
  </si>
  <si>
    <t>2 fdred &lt;=&gt; 2 fdox + h2</t>
  </si>
  <si>
    <t>nfn</t>
  </si>
  <si>
    <t>2 fdred + nadh + 2 nadp &lt;=&gt; 2 nadph + nad + 2 fdox</t>
  </si>
  <si>
    <t>aldhp</t>
  </si>
  <si>
    <t>adh</t>
  </si>
  <si>
    <t>acald + nadh &lt;=&gt; nad + etoh</t>
  </si>
  <si>
    <t>accoa + nadph &lt;=&gt; coa + acald + nadp</t>
  </si>
  <si>
    <t>fnor</t>
  </si>
  <si>
    <t>fnorp</t>
  </si>
  <si>
    <t>xhyd</t>
  </si>
  <si>
    <t>nadh + nadp &lt;=&gt; nadph + nad</t>
  </si>
  <si>
    <t>acald + 2 fdred &lt;=&gt; 2 fdox + etoh</t>
  </si>
  <si>
    <t>adhfd</t>
  </si>
  <si>
    <t>2 fdred + nadp &lt;=&gt; nadph + 2 fdox</t>
  </si>
  <si>
    <t>2 fdred + nad &lt;=&gt; nadh + 2 fdox</t>
  </si>
  <si>
    <t>adhE WT</t>
  </si>
  <si>
    <t>adhE PROSS</t>
  </si>
  <si>
    <t>adhE mutants, adhA</t>
  </si>
  <si>
    <t>glc</t>
  </si>
  <si>
    <t>g6p</t>
  </si>
  <si>
    <t>f6p</t>
  </si>
  <si>
    <t>fbp</t>
  </si>
  <si>
    <t>dhap</t>
  </si>
  <si>
    <t>g3p</t>
  </si>
  <si>
    <t>nad</t>
  </si>
  <si>
    <t>bpg</t>
  </si>
  <si>
    <t>pi</t>
  </si>
  <si>
    <t>3pg</t>
  </si>
  <si>
    <t>2pg</t>
  </si>
  <si>
    <t>pep</t>
  </si>
  <si>
    <t>h2o</t>
  </si>
  <si>
    <t>pyk</t>
  </si>
  <si>
    <t>adp + pep &lt;=&gt; atp + pyr</t>
  </si>
  <si>
    <t>pyr</t>
  </si>
  <si>
    <t>oaa</t>
  </si>
  <si>
    <t>mal</t>
  </si>
  <si>
    <t>nadp</t>
  </si>
  <si>
    <t>coa</t>
  </si>
  <si>
    <t>fdox</t>
  </si>
  <si>
    <t>accoa</t>
  </si>
  <si>
    <t>Sub-pathway</t>
  </si>
  <si>
    <t>glycolysis</t>
  </si>
  <si>
    <t>malate shunt</t>
  </si>
  <si>
    <t>electron transfer</t>
  </si>
  <si>
    <t>ethanol production</t>
  </si>
  <si>
    <t>Tsac NADH ethanologen</t>
  </si>
  <si>
    <t>Tsac NADH+NADPH ethanologen</t>
  </si>
  <si>
    <t>Tsac NADH+NADPH ethanologen fnorp</t>
  </si>
  <si>
    <t>NFN-only pathway with engineered AdhE</t>
  </si>
  <si>
    <t>Cth ethanologen WT adhE</t>
  </si>
  <si>
    <t>Cth malate shunt adhp</t>
  </si>
  <si>
    <t>Mode ID</t>
  </si>
  <si>
    <t>ATP yield</t>
  </si>
  <si>
    <t>pdc</t>
  </si>
  <si>
    <t>pdh</t>
  </si>
  <si>
    <t>pyr &lt;=&gt; acald + co2</t>
  </si>
  <si>
    <t>PDC ethanol pathway</t>
  </si>
  <si>
    <t>PDC Xhyd ethanol pathway</t>
  </si>
  <si>
    <t>ReactionID</t>
  </si>
  <si>
    <t>ReactionFormula</t>
  </si>
  <si>
    <t>kegg:C00149</t>
  </si>
  <si>
    <t>kegg:C00024</t>
  </si>
  <si>
    <t>kegg:C00009</t>
  </si>
  <si>
    <t>kegg:C00022</t>
  </si>
  <si>
    <t>kegg:C00006</t>
  </si>
  <si>
    <t>kegg:C00005</t>
  </si>
  <si>
    <t>kegg:C00004</t>
  </si>
  <si>
    <t>kegg:C00003</t>
  </si>
  <si>
    <t>kegg:C00002</t>
  </si>
  <si>
    <t>kegg:C00001</t>
  </si>
  <si>
    <t>kegg:C00036</t>
  </si>
  <si>
    <t>kegg:C00008</t>
  </si>
  <si>
    <t>kegg:C00092</t>
  </si>
  <si>
    <t>kegg:C00236</t>
  </si>
  <si>
    <t>kegg:C00010</t>
  </si>
  <si>
    <t>kegg:C00011</t>
  </si>
  <si>
    <t>kegg:C00111</t>
  </si>
  <si>
    <t>kegg:C00031</t>
  </si>
  <si>
    <t>kegg:C00354</t>
  </si>
  <si>
    <t>kegg:C00118</t>
  </si>
  <si>
    <t>kegg:C00074</t>
  </si>
  <si>
    <t>kegg:C00197</t>
  </si>
  <si>
    <t>kegg:C00085</t>
  </si>
  <si>
    <t>kegg:C00631</t>
  </si>
  <si>
    <t>kegg:C00139</t>
  </si>
  <si>
    <t>kegg:C00138</t>
  </si>
  <si>
    <t>kegg:C00084</t>
  </si>
  <si>
    <t>kegg:C00469</t>
  </si>
  <si>
    <t>CompoundID</t>
  </si>
  <si>
    <t>kegg:C00282</t>
  </si>
  <si>
    <t>Concentration (mM)</t>
  </si>
  <si>
    <t>Notes</t>
  </si>
  <si>
    <t>No value. Equilibrator sets this to 55M internally</t>
  </si>
  <si>
    <t>pyr + coa + nad &lt;=&gt; accoa + nadh + co2</t>
  </si>
  <si>
    <t>ID</t>
  </si>
  <si>
    <t>rxn</t>
  </si>
  <si>
    <t>flux</t>
  </si>
  <si>
    <t>info</t>
  </si>
  <si>
    <t>stoich</t>
  </si>
  <si>
    <t>Identifiers</t>
  </si>
  <si>
    <t>Min</t>
  </si>
  <si>
    <t>Max</t>
  </si>
  <si>
    <t>Name</t>
  </si>
  <si>
    <t>glucose-6-phosphate</t>
  </si>
  <si>
    <t>fructose-6-phosphate</t>
  </si>
  <si>
    <t>fructose-1,6-bisphosphate</t>
  </si>
  <si>
    <t>dihydroxyacetonephosphate</t>
  </si>
  <si>
    <t>glycerol-3-phophate</t>
  </si>
  <si>
    <t>bisphosphoglycerate</t>
  </si>
  <si>
    <t>3-phosphoglycerate</t>
  </si>
  <si>
    <t>2-phosphoglycerate</t>
  </si>
  <si>
    <t>phosphoenolpyruvate</t>
  </si>
  <si>
    <t>oxaloacetate</t>
  </si>
  <si>
    <t>malate</t>
  </si>
  <si>
    <t>acetyl-coa</t>
  </si>
  <si>
    <t>acetaldehyde</t>
  </si>
  <si>
    <t>ethanol</t>
  </si>
  <si>
    <t>reduced ferredoxin</t>
  </si>
  <si>
    <t>oxidized ferredoxin</t>
  </si>
  <si>
    <t>phosphate</t>
  </si>
  <si>
    <t>water</t>
  </si>
  <si>
    <t>hydrogen</t>
  </si>
  <si>
    <t>carbon dioxide</t>
  </si>
  <si>
    <t>MDF</t>
  </si>
  <si>
    <t>Above 2 mM, h2 cycling and nadh-fnor are identical. I arbitratrily set this to 0.01 mM to show how h2 cycling could limit MDF</t>
  </si>
  <si>
    <t>Tsac fd adh</t>
  </si>
  <si>
    <t>aldhp_adhp</t>
  </si>
  <si>
    <t>adhE with substrate channeling</t>
  </si>
  <si>
    <t>aldh_adh</t>
  </si>
  <si>
    <t>accoa + 2 nadh &lt;=&gt; coa + 2 nad + etoh</t>
  </si>
  <si>
    <t>accoa + 2 nadph &lt;=&gt; coa + 2 nadp + etoh</t>
  </si>
  <si>
    <t>Tsac NADH substrate-channeling</t>
  </si>
  <si>
    <t>Tsac NADPH substrate-channeling</t>
  </si>
  <si>
    <t>ATP/ADP ratio limited to 1:1 to 100:1</t>
  </si>
  <si>
    <t>PDH ethanol pathway</t>
  </si>
  <si>
    <t>PFOR FNOR ethanol pathway</t>
  </si>
  <si>
    <t>PFOR FNOR Xhyd pathway</t>
  </si>
  <si>
    <t>In my previous analysis I set this to a max of 1, not 10</t>
  </si>
  <si>
    <t>Dash et al. 2019 showed a big impact of the malate shunt. I arbitrarily set the CO2 concentration to 0.001 mM to show a similar effect.</t>
  </si>
  <si>
    <t>Cth malate shunt FNORp adhp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</si>
</sst>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2" borderId="0" xfId="0" applyFont="1" applyFill="1" applyAlignment="1">
      <alignment textRotation="90"/>
    </xf>
    <xf numFmtId="0" fontId="1" fillId="7" borderId="0" xfId="0" applyFont="1" applyFill="1" applyAlignment="1">
      <alignment textRotation="90"/>
    </xf>
    <xf numFmtId="0" fontId="0" fillId="7" borderId="0" xfId="0" applyFill="1"/>
    <xf numFmtId="0" fontId="1" fillId="0" borderId="1" xfId="0" applyFont="1" applyBorder="1" applyAlignment="1">
      <alignment horizontal="center" textRotation="90"/>
    </xf>
    <xf numFmtId="0" fontId="0" fillId="0" borderId="0" xfId="0" applyAlignment="1">
      <alignment wrapText="1"/>
    </xf>
    <xf numFmtId="0" fontId="0" fillId="0" borderId="0" xfId="0" applyAlignment="1">
      <alignment textRotation="90" wrapText="1"/>
    </xf>
    <xf numFmtId="0" fontId="0" fillId="0" borderId="0" xfId="0" applyAlignment="1">
      <alignment horizontal="center" textRotation="90" wrapText="1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83D60-ED86-442D-9585-E503671F62B9}">
  <dimension ref="A1:BM35"/>
  <sheetViews>
    <sheetView tabSelected="1" zoomScale="80" zoomScaleNormal="80" workbookViewId="0">
      <pane xSplit="4" ySplit="5" topLeftCell="E6" activePane="bottomRight" state="frozen"/>
      <selection pane="topRight" activeCell="E1" sqref="E1"/>
      <selection pane="bottomLeft" activeCell="A4" sqref="A4"/>
      <selection pane="bottomRight" activeCell="D1" sqref="D1"/>
    </sheetView>
  </sheetViews>
  <sheetFormatPr defaultRowHeight="14.25" x14ac:dyDescent="0.45"/>
  <cols>
    <col min="1" max="1" width="29.86328125" customWidth="1"/>
    <col min="2" max="2" width="15.86328125" bestFit="1" customWidth="1"/>
    <col min="3" max="3" width="10.06640625" customWidth="1"/>
    <col min="4" max="4" width="55.796875" bestFit="1" customWidth="1"/>
    <col min="5" max="5" width="5.265625" style="1" customWidth="1"/>
    <col min="6" max="34" width="4.06640625" customWidth="1"/>
    <col min="35" max="35" width="10.9296875" customWidth="1"/>
    <col min="36" max="46" width="7.46484375" customWidth="1"/>
    <col min="47" max="50" width="7.46484375" style="1" customWidth="1"/>
    <col min="51" max="58" width="6.73046875" style="1" customWidth="1"/>
    <col min="59" max="61" width="6.73046875" customWidth="1"/>
  </cols>
  <sheetData>
    <row r="1" spans="1:65" x14ac:dyDescent="0.45">
      <c r="A1" t="s">
        <v>150</v>
      </c>
      <c r="C1" t="s">
        <v>148</v>
      </c>
      <c r="D1" s="16"/>
      <c r="E1" s="1" t="s">
        <v>151</v>
      </c>
      <c r="AI1" t="s">
        <v>149</v>
      </c>
      <c r="AK1" s="1"/>
      <c r="AL1" s="1"/>
      <c r="AR1" s="1"/>
      <c r="AT1" s="1"/>
      <c r="AU1"/>
      <c r="AV1"/>
      <c r="AW1"/>
      <c r="AX1"/>
    </row>
    <row r="2" spans="1:65" x14ac:dyDescent="0.45">
      <c r="D2" s="16" t="s">
        <v>104</v>
      </c>
      <c r="AI2" t="s">
        <v>104</v>
      </c>
      <c r="AJ2" s="1">
        <v>4</v>
      </c>
      <c r="AK2" s="1">
        <v>11</v>
      </c>
      <c r="AL2" s="1">
        <v>9</v>
      </c>
      <c r="AM2" s="1">
        <v>2</v>
      </c>
      <c r="AN2" s="1">
        <v>3</v>
      </c>
      <c r="AO2" s="1">
        <v>15</v>
      </c>
      <c r="AP2" s="1">
        <v>7</v>
      </c>
      <c r="AQ2" s="1">
        <v>6</v>
      </c>
      <c r="AR2" s="1">
        <v>10</v>
      </c>
      <c r="AS2" s="1">
        <v>8</v>
      </c>
      <c r="AT2" s="1">
        <v>12</v>
      </c>
      <c r="AU2" s="1">
        <v>13</v>
      </c>
      <c r="AV2" s="1">
        <v>5</v>
      </c>
      <c r="AW2" s="1">
        <v>1</v>
      </c>
      <c r="AX2" s="1">
        <v>14</v>
      </c>
    </row>
    <row r="3" spans="1:65" x14ac:dyDescent="0.45">
      <c r="D3" s="16" t="s">
        <v>105</v>
      </c>
      <c r="AI3" t="s">
        <v>105</v>
      </c>
      <c r="AJ3" s="1">
        <v>2</v>
      </c>
      <c r="AK3" s="1">
        <v>2</v>
      </c>
      <c r="AL3" s="1">
        <v>2</v>
      </c>
      <c r="AM3" s="1">
        <v>2</v>
      </c>
      <c r="AN3" s="1">
        <v>2</v>
      </c>
      <c r="AO3" s="1">
        <v>2</v>
      </c>
      <c r="AP3" s="1">
        <v>2</v>
      </c>
      <c r="AQ3" s="1">
        <v>3</v>
      </c>
      <c r="AR3" s="1">
        <v>2</v>
      </c>
      <c r="AS3" s="1">
        <v>2</v>
      </c>
      <c r="AT3" s="1">
        <v>2</v>
      </c>
      <c r="AU3" s="1">
        <v>2</v>
      </c>
      <c r="AV3" s="1">
        <v>3</v>
      </c>
      <c r="AW3" s="1">
        <v>2</v>
      </c>
      <c r="AX3" s="1">
        <v>2</v>
      </c>
    </row>
    <row r="4" spans="1:65" x14ac:dyDescent="0.45">
      <c r="D4" s="16" t="s">
        <v>176</v>
      </c>
      <c r="AI4" t="s">
        <v>176</v>
      </c>
      <c r="AJ4" s="1">
        <v>7.26</v>
      </c>
      <c r="AK4" s="1">
        <v>7.24</v>
      </c>
      <c r="AL4" s="1">
        <v>7.22</v>
      </c>
      <c r="AM4" s="1">
        <v>4.8</v>
      </c>
      <c r="AN4" s="1">
        <v>4.79</v>
      </c>
      <c r="AO4" s="1">
        <v>4.08</v>
      </c>
      <c r="AP4" s="1">
        <v>3.25</v>
      </c>
      <c r="AQ4" s="1">
        <v>2.97</v>
      </c>
      <c r="AR4" s="1">
        <v>2.59</v>
      </c>
      <c r="AS4" s="1">
        <v>2.46</v>
      </c>
      <c r="AT4" s="1">
        <v>2.12</v>
      </c>
      <c r="AU4" s="1">
        <v>2.16</v>
      </c>
      <c r="AV4" s="1">
        <v>2.16</v>
      </c>
      <c r="AW4" s="1">
        <v>2.2000000000000002</v>
      </c>
      <c r="AX4" s="1">
        <v>1.88</v>
      </c>
    </row>
    <row r="5" spans="1:65" ht="124.9" customHeight="1" x14ac:dyDescent="0.45">
      <c r="A5" s="3" t="s">
        <v>10</v>
      </c>
      <c r="B5" s="3" t="s">
        <v>93</v>
      </c>
      <c r="C5" s="2" t="s">
        <v>111</v>
      </c>
      <c r="D5" s="2" t="s">
        <v>112</v>
      </c>
      <c r="E5" s="12" t="s">
        <v>0</v>
      </c>
      <c r="F5" s="9" t="s">
        <v>71</v>
      </c>
      <c r="G5" s="9" t="s">
        <v>8</v>
      </c>
      <c r="H5" s="9" t="s">
        <v>6</v>
      </c>
      <c r="I5" s="9" t="s">
        <v>83</v>
      </c>
      <c r="J5" s="9" t="s">
        <v>15</v>
      </c>
      <c r="K5" s="9" t="s">
        <v>14</v>
      </c>
      <c r="L5" s="9" t="s">
        <v>79</v>
      </c>
      <c r="M5" s="10" t="s">
        <v>77</v>
      </c>
      <c r="N5" s="10" t="s">
        <v>3</v>
      </c>
      <c r="O5" s="10" t="s">
        <v>89</v>
      </c>
      <c r="P5" s="10" t="s">
        <v>4</v>
      </c>
      <c r="Q5" s="10" t="s">
        <v>91</v>
      </c>
      <c r="R5" s="10" t="s">
        <v>5</v>
      </c>
      <c r="S5" s="10" t="s">
        <v>90</v>
      </c>
      <c r="T5" s="10" t="s">
        <v>92</v>
      </c>
      <c r="U5" s="10" t="s">
        <v>72</v>
      </c>
      <c r="V5" s="10" t="s">
        <v>73</v>
      </c>
      <c r="W5" s="10" t="s">
        <v>74</v>
      </c>
      <c r="X5" s="10" t="s">
        <v>75</v>
      </c>
      <c r="Y5" s="10" t="s">
        <v>76</v>
      </c>
      <c r="Z5" s="10" t="s">
        <v>78</v>
      </c>
      <c r="AA5" s="10" t="s">
        <v>80</v>
      </c>
      <c r="AB5" s="10" t="s">
        <v>81</v>
      </c>
      <c r="AC5" s="10" t="s">
        <v>82</v>
      </c>
      <c r="AD5" s="10" t="s">
        <v>87</v>
      </c>
      <c r="AE5" s="10" t="s">
        <v>86</v>
      </c>
      <c r="AF5" s="10" t="s">
        <v>88</v>
      </c>
      <c r="AG5" s="10" t="s">
        <v>7</v>
      </c>
      <c r="AH5" s="10" t="s">
        <v>9</v>
      </c>
      <c r="AI5" s="10" t="s">
        <v>147</v>
      </c>
      <c r="AJ5" s="15" t="s">
        <v>101</v>
      </c>
      <c r="AK5" s="15" t="s">
        <v>185</v>
      </c>
      <c r="AL5" s="15" t="s">
        <v>178</v>
      </c>
      <c r="AM5" s="15" t="s">
        <v>99</v>
      </c>
      <c r="AN5" s="15" t="s">
        <v>100</v>
      </c>
      <c r="AO5" s="15" t="s">
        <v>192</v>
      </c>
      <c r="AP5" s="15" t="s">
        <v>109</v>
      </c>
      <c r="AQ5" s="15" t="s">
        <v>103</v>
      </c>
      <c r="AR5" s="15" t="s">
        <v>184</v>
      </c>
      <c r="AS5" s="15" t="s">
        <v>110</v>
      </c>
      <c r="AT5" s="15" t="s">
        <v>187</v>
      </c>
      <c r="AU5" s="14" t="s">
        <v>188</v>
      </c>
      <c r="AV5" s="15" t="s">
        <v>102</v>
      </c>
      <c r="AW5" s="15" t="s">
        <v>98</v>
      </c>
      <c r="AX5" s="15" t="s">
        <v>189</v>
      </c>
      <c r="BJ5" s="13"/>
      <c r="BK5" s="13"/>
      <c r="BL5" s="13"/>
      <c r="BM5" s="13"/>
    </row>
    <row r="6" spans="1:65" x14ac:dyDescent="0.45">
      <c r="B6" s="4" t="s">
        <v>94</v>
      </c>
      <c r="C6" s="4" t="s">
        <v>19</v>
      </c>
      <c r="D6" s="4" t="s">
        <v>20</v>
      </c>
      <c r="E6" s="1">
        <v>1</v>
      </c>
      <c r="F6" s="4">
        <v>-1</v>
      </c>
      <c r="G6" s="4"/>
      <c r="H6" s="4"/>
      <c r="I6" s="4"/>
      <c r="J6" s="4">
        <v>-1</v>
      </c>
      <c r="K6" s="4">
        <v>1</v>
      </c>
      <c r="L6" s="4"/>
      <c r="M6" s="11"/>
      <c r="N6" s="11"/>
      <c r="O6" s="11"/>
      <c r="P6" s="11"/>
      <c r="Q6" s="11"/>
      <c r="R6" s="11"/>
      <c r="S6" s="11"/>
      <c r="T6" s="11"/>
      <c r="U6" s="11">
        <v>1</v>
      </c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6" t="str">
        <f>C6</f>
        <v>glk</v>
      </c>
      <c r="AJ6" s="1">
        <v>1</v>
      </c>
      <c r="AK6" s="1">
        <v>1</v>
      </c>
      <c r="AL6" s="1">
        <v>1</v>
      </c>
      <c r="AM6" s="1">
        <v>1</v>
      </c>
      <c r="AN6" s="1">
        <v>1</v>
      </c>
      <c r="AO6" s="1">
        <v>1</v>
      </c>
      <c r="AP6" s="1">
        <v>1</v>
      </c>
      <c r="AQ6" s="1">
        <v>1</v>
      </c>
      <c r="AR6" s="1">
        <v>1</v>
      </c>
      <c r="AS6" s="1">
        <v>1</v>
      </c>
      <c r="AT6" s="1">
        <v>1</v>
      </c>
      <c r="AU6" s="1">
        <v>1</v>
      </c>
      <c r="AV6" s="1">
        <v>1</v>
      </c>
      <c r="AW6" s="1">
        <v>1</v>
      </c>
      <c r="AX6" s="1">
        <v>1</v>
      </c>
    </row>
    <row r="7" spans="1:65" x14ac:dyDescent="0.45">
      <c r="B7" s="4" t="s">
        <v>94</v>
      </c>
      <c r="C7" s="4" t="s">
        <v>21</v>
      </c>
      <c r="D7" s="4" t="s">
        <v>22</v>
      </c>
      <c r="E7" s="1">
        <v>1</v>
      </c>
      <c r="F7" s="4"/>
      <c r="G7" s="4"/>
      <c r="H7" s="4"/>
      <c r="I7" s="4"/>
      <c r="J7" s="4"/>
      <c r="K7" s="4"/>
      <c r="L7" s="4"/>
      <c r="M7" s="11"/>
      <c r="N7" s="11"/>
      <c r="O7" s="11"/>
      <c r="P7" s="11"/>
      <c r="Q7" s="11"/>
      <c r="R7" s="11"/>
      <c r="S7" s="11"/>
      <c r="T7" s="11"/>
      <c r="U7" s="11">
        <v>-1</v>
      </c>
      <c r="V7" s="11">
        <v>1</v>
      </c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6" t="str">
        <f t="shared" ref="AI7:AI35" si="0">C7</f>
        <v>pgi</v>
      </c>
      <c r="AJ7" s="1">
        <v>1</v>
      </c>
      <c r="AK7" s="1">
        <v>1</v>
      </c>
      <c r="AL7" s="1">
        <v>1</v>
      </c>
      <c r="AM7" s="1">
        <v>1</v>
      </c>
      <c r="AN7" s="1">
        <v>1</v>
      </c>
      <c r="AO7" s="1">
        <v>1</v>
      </c>
      <c r="AP7" s="1">
        <v>1</v>
      </c>
      <c r="AQ7" s="1">
        <v>1</v>
      </c>
      <c r="AR7" s="1">
        <v>1</v>
      </c>
      <c r="AS7" s="1">
        <v>1</v>
      </c>
      <c r="AT7" s="1">
        <v>1</v>
      </c>
      <c r="AU7" s="1">
        <v>1</v>
      </c>
      <c r="AV7" s="1">
        <v>1</v>
      </c>
      <c r="AW7" s="1">
        <v>1</v>
      </c>
      <c r="AX7" s="1">
        <v>1</v>
      </c>
    </row>
    <row r="8" spans="1:65" x14ac:dyDescent="0.45">
      <c r="B8" s="4" t="s">
        <v>94</v>
      </c>
      <c r="C8" s="4" t="s">
        <v>23</v>
      </c>
      <c r="D8" s="4" t="s">
        <v>24</v>
      </c>
      <c r="E8" s="1">
        <v>1</v>
      </c>
      <c r="F8" s="4"/>
      <c r="G8" s="4"/>
      <c r="H8" s="4"/>
      <c r="I8" s="4"/>
      <c r="J8" s="4">
        <v>-1</v>
      </c>
      <c r="K8" s="4">
        <v>1</v>
      </c>
      <c r="L8" s="4"/>
      <c r="M8" s="11"/>
      <c r="N8" s="11"/>
      <c r="O8" s="11"/>
      <c r="P8" s="11"/>
      <c r="Q8" s="11"/>
      <c r="R8" s="11"/>
      <c r="S8" s="11"/>
      <c r="T8" s="11"/>
      <c r="U8" s="11"/>
      <c r="V8" s="11">
        <v>-1</v>
      </c>
      <c r="W8" s="11">
        <v>1</v>
      </c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6" t="str">
        <f t="shared" si="0"/>
        <v>pfk</v>
      </c>
      <c r="AJ8" s="1">
        <v>1</v>
      </c>
      <c r="AK8" s="1">
        <v>1</v>
      </c>
      <c r="AL8" s="1">
        <v>1</v>
      </c>
      <c r="AM8" s="1">
        <v>1</v>
      </c>
      <c r="AN8" s="1">
        <v>1</v>
      </c>
      <c r="AO8" s="1">
        <v>1</v>
      </c>
      <c r="AP8" s="1">
        <v>1</v>
      </c>
      <c r="AQ8" s="1">
        <v>1</v>
      </c>
      <c r="AR8" s="1">
        <v>1</v>
      </c>
      <c r="AS8" s="1">
        <v>1</v>
      </c>
      <c r="AT8" s="1">
        <v>1</v>
      </c>
      <c r="AU8" s="1">
        <v>1</v>
      </c>
      <c r="AV8" s="1">
        <v>1</v>
      </c>
      <c r="AW8" s="1">
        <v>1</v>
      </c>
      <c r="AX8" s="1">
        <v>1</v>
      </c>
    </row>
    <row r="9" spans="1:65" x14ac:dyDescent="0.45">
      <c r="B9" s="4" t="s">
        <v>94</v>
      </c>
      <c r="C9" s="4" t="s">
        <v>25</v>
      </c>
      <c r="D9" s="4" t="s">
        <v>26</v>
      </c>
      <c r="E9" s="1">
        <v>1</v>
      </c>
      <c r="F9" s="4"/>
      <c r="G9" s="4"/>
      <c r="H9" s="4"/>
      <c r="I9" s="4"/>
      <c r="J9" s="4"/>
      <c r="K9" s="4"/>
      <c r="L9" s="4"/>
      <c r="M9" s="11"/>
      <c r="N9" s="11"/>
      <c r="O9" s="11"/>
      <c r="P9" s="11"/>
      <c r="Q9" s="11"/>
      <c r="R9" s="11"/>
      <c r="S9" s="11"/>
      <c r="T9" s="11"/>
      <c r="U9" s="11"/>
      <c r="V9" s="11"/>
      <c r="W9" s="11">
        <v>-1</v>
      </c>
      <c r="X9" s="11">
        <v>1</v>
      </c>
      <c r="Y9" s="11">
        <v>1</v>
      </c>
      <c r="Z9" s="11"/>
      <c r="AA9" s="11"/>
      <c r="AB9" s="11"/>
      <c r="AC9" s="11"/>
      <c r="AD9" s="11"/>
      <c r="AE9" s="11"/>
      <c r="AF9" s="11"/>
      <c r="AG9" s="11"/>
      <c r="AH9" s="11"/>
      <c r="AI9" s="16" t="str">
        <f t="shared" si="0"/>
        <v>fba</v>
      </c>
      <c r="AJ9" s="1">
        <v>1</v>
      </c>
      <c r="AK9" s="1">
        <v>1</v>
      </c>
      <c r="AL9" s="1">
        <v>1</v>
      </c>
      <c r="AM9" s="1">
        <v>1</v>
      </c>
      <c r="AN9" s="1">
        <v>1</v>
      </c>
      <c r="AO9" s="1">
        <v>1</v>
      </c>
      <c r="AP9" s="1">
        <v>1</v>
      </c>
      <c r="AQ9" s="1">
        <v>1</v>
      </c>
      <c r="AR9" s="1">
        <v>1</v>
      </c>
      <c r="AS9" s="1">
        <v>1</v>
      </c>
      <c r="AT9" s="1">
        <v>1</v>
      </c>
      <c r="AU9" s="1">
        <v>1</v>
      </c>
      <c r="AV9" s="1">
        <v>1</v>
      </c>
      <c r="AW9" s="1">
        <v>1</v>
      </c>
      <c r="AX9" s="1">
        <v>1</v>
      </c>
    </row>
    <row r="10" spans="1:65" x14ac:dyDescent="0.45">
      <c r="B10" s="4" t="s">
        <v>94</v>
      </c>
      <c r="C10" s="4" t="s">
        <v>27</v>
      </c>
      <c r="D10" s="4" t="s">
        <v>28</v>
      </c>
      <c r="E10" s="1">
        <v>1</v>
      </c>
      <c r="F10" s="4"/>
      <c r="G10" s="4"/>
      <c r="H10" s="4"/>
      <c r="I10" s="4"/>
      <c r="J10" s="4"/>
      <c r="K10" s="4"/>
      <c r="L10" s="4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>
        <v>-1</v>
      </c>
      <c r="Y10" s="11">
        <v>1</v>
      </c>
      <c r="Z10" s="11"/>
      <c r="AA10" s="11"/>
      <c r="AB10" s="11"/>
      <c r="AC10" s="11"/>
      <c r="AD10" s="11"/>
      <c r="AE10" s="11"/>
      <c r="AF10" s="11"/>
      <c r="AG10" s="11"/>
      <c r="AH10" s="11"/>
      <c r="AI10" s="16" t="str">
        <f t="shared" si="0"/>
        <v>tpi</v>
      </c>
      <c r="AJ10" s="1">
        <v>1</v>
      </c>
      <c r="AK10" s="1">
        <v>1</v>
      </c>
      <c r="AL10" s="1">
        <v>1</v>
      </c>
      <c r="AM10" s="1">
        <v>1</v>
      </c>
      <c r="AN10" s="1">
        <v>1</v>
      </c>
      <c r="AO10" s="1">
        <v>1</v>
      </c>
      <c r="AP10" s="1">
        <v>1</v>
      </c>
      <c r="AQ10" s="1">
        <v>1</v>
      </c>
      <c r="AR10" s="1">
        <v>1</v>
      </c>
      <c r="AS10" s="1">
        <v>1</v>
      </c>
      <c r="AT10" s="1">
        <v>1</v>
      </c>
      <c r="AU10" s="1">
        <v>1</v>
      </c>
      <c r="AV10" s="1">
        <v>1</v>
      </c>
      <c r="AW10" s="1">
        <v>1</v>
      </c>
      <c r="AX10" s="1">
        <v>1</v>
      </c>
    </row>
    <row r="11" spans="1:65" x14ac:dyDescent="0.45">
      <c r="B11" s="4" t="s">
        <v>94</v>
      </c>
      <c r="C11" s="4" t="s">
        <v>29</v>
      </c>
      <c r="D11" s="4" t="s">
        <v>30</v>
      </c>
      <c r="E11" s="1">
        <v>2</v>
      </c>
      <c r="F11" s="4"/>
      <c r="G11" s="4"/>
      <c r="H11" s="4"/>
      <c r="I11" s="4"/>
      <c r="J11" s="4"/>
      <c r="K11" s="4"/>
      <c r="L11" s="4">
        <v>-1</v>
      </c>
      <c r="M11" s="11">
        <v>-1</v>
      </c>
      <c r="N11" s="11">
        <v>1</v>
      </c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>
        <v>-1</v>
      </c>
      <c r="Z11" s="11">
        <v>1</v>
      </c>
      <c r="AA11" s="11"/>
      <c r="AB11" s="11"/>
      <c r="AC11" s="11"/>
      <c r="AD11" s="11"/>
      <c r="AE11" s="11"/>
      <c r="AF11" s="11"/>
      <c r="AG11" s="11"/>
      <c r="AH11" s="11"/>
      <c r="AI11" s="16" t="str">
        <f t="shared" si="0"/>
        <v>gap</v>
      </c>
      <c r="AJ11" s="1">
        <v>2</v>
      </c>
      <c r="AK11" s="1">
        <v>2</v>
      </c>
      <c r="AL11" s="1">
        <v>2</v>
      </c>
      <c r="AM11" s="1">
        <v>2</v>
      </c>
      <c r="AN11" s="1">
        <v>2</v>
      </c>
      <c r="AO11" s="1">
        <v>2</v>
      </c>
      <c r="AP11" s="1">
        <v>2</v>
      </c>
      <c r="AQ11" s="1">
        <v>2</v>
      </c>
      <c r="AR11" s="1">
        <v>2</v>
      </c>
      <c r="AS11" s="1">
        <v>2</v>
      </c>
      <c r="AT11" s="1">
        <v>2</v>
      </c>
      <c r="AU11" s="1">
        <v>2</v>
      </c>
      <c r="AV11" s="1">
        <v>2</v>
      </c>
      <c r="AW11" s="1">
        <v>2</v>
      </c>
      <c r="AX11" s="1">
        <v>2</v>
      </c>
    </row>
    <row r="12" spans="1:65" x14ac:dyDescent="0.45">
      <c r="B12" s="4" t="s">
        <v>94</v>
      </c>
      <c r="C12" s="4" t="s">
        <v>31</v>
      </c>
      <c r="D12" s="4" t="s">
        <v>32</v>
      </c>
      <c r="E12" s="1">
        <v>2</v>
      </c>
      <c r="F12" s="4"/>
      <c r="G12" s="4"/>
      <c r="H12" s="4"/>
      <c r="I12" s="4"/>
      <c r="J12" s="4">
        <v>1</v>
      </c>
      <c r="K12" s="4">
        <v>-1</v>
      </c>
      <c r="L12" s="4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>
        <v>-1</v>
      </c>
      <c r="AA12" s="11">
        <v>1</v>
      </c>
      <c r="AB12" s="11"/>
      <c r="AC12" s="11"/>
      <c r="AD12" s="11"/>
      <c r="AE12" s="11"/>
      <c r="AF12" s="11"/>
      <c r="AG12" s="11"/>
      <c r="AH12" s="11"/>
      <c r="AI12" s="16" t="str">
        <f t="shared" si="0"/>
        <v>pgk</v>
      </c>
      <c r="AJ12" s="1">
        <v>2</v>
      </c>
      <c r="AK12" s="1">
        <v>2</v>
      </c>
      <c r="AL12" s="1">
        <v>2</v>
      </c>
      <c r="AM12" s="1">
        <v>2</v>
      </c>
      <c r="AN12" s="1">
        <v>2</v>
      </c>
      <c r="AO12" s="1">
        <v>2</v>
      </c>
      <c r="AP12" s="1">
        <v>2</v>
      </c>
      <c r="AQ12" s="1">
        <v>2</v>
      </c>
      <c r="AR12" s="1">
        <v>2</v>
      </c>
      <c r="AS12" s="1">
        <v>2</v>
      </c>
      <c r="AT12" s="1">
        <v>2</v>
      </c>
      <c r="AU12" s="1">
        <v>2</v>
      </c>
      <c r="AV12" s="1">
        <v>2</v>
      </c>
      <c r="AW12" s="1">
        <v>2</v>
      </c>
      <c r="AX12" s="1">
        <v>2</v>
      </c>
    </row>
    <row r="13" spans="1:65" x14ac:dyDescent="0.45">
      <c r="B13" s="4" t="s">
        <v>94</v>
      </c>
      <c r="C13" s="4" t="s">
        <v>33</v>
      </c>
      <c r="D13" s="4" t="s">
        <v>34</v>
      </c>
      <c r="E13" s="1">
        <v>2</v>
      </c>
      <c r="F13" s="4"/>
      <c r="G13" s="4"/>
      <c r="H13" s="4"/>
      <c r="I13" s="4"/>
      <c r="J13" s="4"/>
      <c r="K13" s="4"/>
      <c r="L13" s="4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>
        <v>-1</v>
      </c>
      <c r="AB13" s="11">
        <v>1</v>
      </c>
      <c r="AC13" s="11"/>
      <c r="AD13" s="11"/>
      <c r="AE13" s="11"/>
      <c r="AF13" s="11"/>
      <c r="AG13" s="11"/>
      <c r="AH13" s="11"/>
      <c r="AI13" s="16" t="str">
        <f t="shared" si="0"/>
        <v>gpm</v>
      </c>
      <c r="AJ13" s="1">
        <v>2</v>
      </c>
      <c r="AK13" s="1">
        <v>2</v>
      </c>
      <c r="AL13" s="1">
        <v>2</v>
      </c>
      <c r="AM13" s="1">
        <v>2</v>
      </c>
      <c r="AN13" s="1">
        <v>2</v>
      </c>
      <c r="AO13" s="1">
        <v>2</v>
      </c>
      <c r="AP13" s="1">
        <v>2</v>
      </c>
      <c r="AQ13" s="1">
        <v>2</v>
      </c>
      <c r="AR13" s="1">
        <v>2</v>
      </c>
      <c r="AS13" s="1">
        <v>2</v>
      </c>
      <c r="AT13" s="1">
        <v>2</v>
      </c>
      <c r="AU13" s="1">
        <v>2</v>
      </c>
      <c r="AV13" s="1">
        <v>2</v>
      </c>
      <c r="AW13" s="1">
        <v>2</v>
      </c>
      <c r="AX13" s="1">
        <v>2</v>
      </c>
    </row>
    <row r="14" spans="1:65" x14ac:dyDescent="0.45">
      <c r="B14" s="4" t="s">
        <v>94</v>
      </c>
      <c r="C14" s="4" t="s">
        <v>35</v>
      </c>
      <c r="D14" s="4" t="s">
        <v>36</v>
      </c>
      <c r="E14" s="1">
        <v>2</v>
      </c>
      <c r="F14" s="4"/>
      <c r="G14" s="4"/>
      <c r="H14" s="4"/>
      <c r="I14" s="4">
        <v>1</v>
      </c>
      <c r="J14" s="4"/>
      <c r="K14" s="4"/>
      <c r="L14" s="4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>
        <v>-1</v>
      </c>
      <c r="AC14" s="11">
        <v>1</v>
      </c>
      <c r="AD14" s="11"/>
      <c r="AE14" s="11"/>
      <c r="AF14" s="11"/>
      <c r="AG14" s="11"/>
      <c r="AH14" s="11"/>
      <c r="AI14" s="16" t="str">
        <f t="shared" si="0"/>
        <v>eno</v>
      </c>
      <c r="AJ14" s="1">
        <v>2</v>
      </c>
      <c r="AK14" s="1">
        <v>2</v>
      </c>
      <c r="AL14" s="1">
        <v>2</v>
      </c>
      <c r="AM14" s="1">
        <v>2</v>
      </c>
      <c r="AN14" s="1">
        <v>2</v>
      </c>
      <c r="AO14" s="1">
        <v>2</v>
      </c>
      <c r="AP14" s="1">
        <v>2</v>
      </c>
      <c r="AQ14" s="1">
        <v>2</v>
      </c>
      <c r="AR14" s="1">
        <v>2</v>
      </c>
      <c r="AS14" s="1">
        <v>2</v>
      </c>
      <c r="AT14" s="1">
        <v>2</v>
      </c>
      <c r="AU14" s="1">
        <v>2</v>
      </c>
      <c r="AV14" s="1">
        <v>2</v>
      </c>
      <c r="AW14" s="1">
        <v>2</v>
      </c>
      <c r="AX14" s="1">
        <v>2</v>
      </c>
    </row>
    <row r="15" spans="1:65" x14ac:dyDescent="0.45">
      <c r="B15" s="4" t="s">
        <v>94</v>
      </c>
      <c r="C15" s="4" t="s">
        <v>84</v>
      </c>
      <c r="D15" s="4" t="s">
        <v>85</v>
      </c>
      <c r="F15" s="4"/>
      <c r="G15" s="4"/>
      <c r="H15" s="4"/>
      <c r="I15" s="4"/>
      <c r="J15" s="4">
        <v>1</v>
      </c>
      <c r="K15" s="4">
        <v>-1</v>
      </c>
      <c r="L15" s="4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>
        <v>-1</v>
      </c>
      <c r="AD15" s="11"/>
      <c r="AE15" s="11">
        <v>1</v>
      </c>
      <c r="AF15" s="11"/>
      <c r="AG15" s="11"/>
      <c r="AH15" s="11"/>
      <c r="AI15" s="16" t="str">
        <f t="shared" si="0"/>
        <v>pyk</v>
      </c>
      <c r="AJ15" s="1">
        <v>2</v>
      </c>
      <c r="AK15" s="1">
        <v>2</v>
      </c>
      <c r="AL15" s="1">
        <v>2</v>
      </c>
      <c r="AM15" s="1">
        <v>2</v>
      </c>
      <c r="AN15" s="1">
        <v>2</v>
      </c>
      <c r="AO15" s="1"/>
      <c r="AP15" s="1">
        <v>2</v>
      </c>
      <c r="AQ15" s="1"/>
      <c r="AR15" s="1">
        <v>2</v>
      </c>
      <c r="AS15" s="1">
        <v>2</v>
      </c>
      <c r="AT15" s="1">
        <v>2</v>
      </c>
      <c r="AU15" s="1">
        <v>2</v>
      </c>
      <c r="AV15" s="1">
        <v>2</v>
      </c>
      <c r="AW15" s="1">
        <v>2</v>
      </c>
      <c r="AX15" s="1">
        <v>2</v>
      </c>
    </row>
    <row r="16" spans="1:65" x14ac:dyDescent="0.45">
      <c r="B16" s="5" t="s">
        <v>95</v>
      </c>
      <c r="C16" s="5" t="s">
        <v>37</v>
      </c>
      <c r="D16" s="5" t="s">
        <v>38</v>
      </c>
      <c r="E16" s="1">
        <v>2</v>
      </c>
      <c r="F16" s="4"/>
      <c r="G16" s="4"/>
      <c r="H16" s="4">
        <v>-1</v>
      </c>
      <c r="I16" s="4"/>
      <c r="J16" s="4">
        <v>1</v>
      </c>
      <c r="K16" s="4">
        <v>-1</v>
      </c>
      <c r="L16" s="4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>
        <v>-1</v>
      </c>
      <c r="AD16" s="11">
        <v>1</v>
      </c>
      <c r="AE16" s="11"/>
      <c r="AF16" s="11"/>
      <c r="AG16" s="11"/>
      <c r="AH16" s="11"/>
      <c r="AI16" s="16" t="str">
        <f t="shared" si="0"/>
        <v>pepck</v>
      </c>
      <c r="AJ16" s="1"/>
      <c r="AK16" s="1"/>
      <c r="AL16" s="1"/>
      <c r="AM16" s="1"/>
      <c r="AN16" s="1"/>
      <c r="AO16" s="1">
        <v>2</v>
      </c>
      <c r="AP16" s="1"/>
      <c r="AQ16" s="1">
        <v>2</v>
      </c>
      <c r="AR16" s="1"/>
      <c r="AS16" s="1"/>
      <c r="AT16" s="1"/>
    </row>
    <row r="17" spans="1:50" x14ac:dyDescent="0.45">
      <c r="B17" s="5" t="s">
        <v>95</v>
      </c>
      <c r="C17" s="5" t="s">
        <v>39</v>
      </c>
      <c r="D17" s="5" t="s">
        <v>40</v>
      </c>
      <c r="E17" s="1">
        <v>2</v>
      </c>
      <c r="F17" s="4"/>
      <c r="G17" s="4"/>
      <c r="H17" s="4"/>
      <c r="I17" s="4"/>
      <c r="J17" s="4"/>
      <c r="K17" s="4"/>
      <c r="L17" s="4"/>
      <c r="M17" s="11">
        <v>1</v>
      </c>
      <c r="N17" s="11">
        <v>-1</v>
      </c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>
        <v>-1</v>
      </c>
      <c r="AE17" s="11"/>
      <c r="AF17" s="11">
        <v>1</v>
      </c>
      <c r="AG17" s="11"/>
      <c r="AH17" s="11"/>
      <c r="AI17" s="16" t="str">
        <f t="shared" si="0"/>
        <v>mdh</v>
      </c>
      <c r="AJ17" s="1"/>
      <c r="AK17" s="1"/>
      <c r="AL17" s="1"/>
      <c r="AM17" s="1"/>
      <c r="AN17" s="1"/>
      <c r="AO17" s="1">
        <v>2</v>
      </c>
      <c r="AP17" s="1"/>
      <c r="AQ17" s="1">
        <v>2</v>
      </c>
      <c r="AR17" s="1"/>
      <c r="AS17" s="1"/>
      <c r="AT17" s="1"/>
    </row>
    <row r="18" spans="1:50" x14ac:dyDescent="0.45">
      <c r="B18" s="5" t="s">
        <v>95</v>
      </c>
      <c r="C18" s="5" t="s">
        <v>41</v>
      </c>
      <c r="D18" s="5" t="s">
        <v>42</v>
      </c>
      <c r="E18" s="1">
        <v>2</v>
      </c>
      <c r="F18" s="4"/>
      <c r="G18" s="4"/>
      <c r="H18" s="4">
        <v>1</v>
      </c>
      <c r="I18" s="4"/>
      <c r="J18" s="4"/>
      <c r="K18" s="4"/>
      <c r="L18" s="4"/>
      <c r="M18" s="11"/>
      <c r="N18" s="11"/>
      <c r="O18" s="11">
        <v>-1</v>
      </c>
      <c r="P18" s="11">
        <v>1</v>
      </c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>
        <v>1</v>
      </c>
      <c r="AF18" s="11">
        <v>-1</v>
      </c>
      <c r="AG18" s="11"/>
      <c r="AH18" s="11"/>
      <c r="AI18" s="16" t="str">
        <f t="shared" si="0"/>
        <v>mae</v>
      </c>
      <c r="AJ18" s="1"/>
      <c r="AK18" s="1"/>
      <c r="AL18" s="1"/>
      <c r="AM18" s="1"/>
      <c r="AN18" s="1"/>
      <c r="AO18" s="1">
        <v>2</v>
      </c>
      <c r="AP18" s="1"/>
      <c r="AQ18" s="1">
        <v>2</v>
      </c>
      <c r="AR18" s="1"/>
      <c r="AS18" s="1"/>
      <c r="AT18" s="1"/>
    </row>
    <row r="19" spans="1:50" x14ac:dyDescent="0.45">
      <c r="A19" t="s">
        <v>18</v>
      </c>
      <c r="B19" s="6" t="s">
        <v>43</v>
      </c>
      <c r="C19" s="6" t="s">
        <v>43</v>
      </c>
      <c r="D19" s="6" t="s">
        <v>44</v>
      </c>
      <c r="E19" s="1">
        <v>2</v>
      </c>
      <c r="F19" s="4"/>
      <c r="G19" s="4"/>
      <c r="H19" s="4">
        <v>1</v>
      </c>
      <c r="I19" s="4"/>
      <c r="J19" s="4"/>
      <c r="K19" s="4"/>
      <c r="L19" s="4"/>
      <c r="M19" s="11"/>
      <c r="N19" s="11"/>
      <c r="O19" s="11"/>
      <c r="P19" s="11"/>
      <c r="Q19" s="11">
        <v>-2</v>
      </c>
      <c r="R19" s="11">
        <v>2</v>
      </c>
      <c r="S19" s="11">
        <v>-1</v>
      </c>
      <c r="T19" s="11">
        <v>1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>
        <v>-1</v>
      </c>
      <c r="AF19" s="11"/>
      <c r="AG19" s="11"/>
      <c r="AH19" s="11"/>
      <c r="AI19" s="16" t="str">
        <f t="shared" si="0"/>
        <v>pfor</v>
      </c>
      <c r="AJ19" s="1">
        <v>2</v>
      </c>
      <c r="AK19" s="1">
        <v>2</v>
      </c>
      <c r="AL19" s="1">
        <v>2</v>
      </c>
      <c r="AM19" s="1">
        <v>2</v>
      </c>
      <c r="AN19" s="1">
        <v>2</v>
      </c>
      <c r="AO19" s="1">
        <v>2</v>
      </c>
      <c r="AP19" s="1"/>
      <c r="AQ19" s="1">
        <v>2</v>
      </c>
      <c r="AR19" s="1">
        <v>2</v>
      </c>
      <c r="AS19" s="1"/>
      <c r="AT19" s="1"/>
      <c r="AU19" s="1">
        <v>2</v>
      </c>
      <c r="AV19" s="1">
        <v>2</v>
      </c>
      <c r="AW19" s="1">
        <v>2</v>
      </c>
      <c r="AX19" s="1">
        <v>2</v>
      </c>
    </row>
    <row r="20" spans="1:50" x14ac:dyDescent="0.45">
      <c r="B20" s="6" t="s">
        <v>106</v>
      </c>
      <c r="C20" s="6" t="s">
        <v>106</v>
      </c>
      <c r="D20" s="6" t="s">
        <v>108</v>
      </c>
      <c r="F20" s="4"/>
      <c r="G20" s="4"/>
      <c r="H20" s="4">
        <v>1</v>
      </c>
      <c r="I20" s="4"/>
      <c r="J20" s="4"/>
      <c r="K20" s="4"/>
      <c r="L20" s="4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>
        <v>-1</v>
      </c>
      <c r="AF20" s="11"/>
      <c r="AG20" s="11">
        <v>1</v>
      </c>
      <c r="AH20" s="11"/>
      <c r="AI20" s="16" t="str">
        <f t="shared" si="0"/>
        <v>pdc</v>
      </c>
      <c r="AJ20" s="1"/>
      <c r="AK20" s="1"/>
      <c r="AL20" s="1"/>
      <c r="AM20" s="1"/>
      <c r="AN20" s="1"/>
      <c r="AO20" s="1"/>
      <c r="AP20" s="1">
        <v>2</v>
      </c>
      <c r="AQ20" s="1"/>
      <c r="AR20" s="1"/>
      <c r="AS20" s="1">
        <v>2</v>
      </c>
      <c r="AT20" s="1"/>
    </row>
    <row r="21" spans="1:50" x14ac:dyDescent="0.45">
      <c r="B21" s="6" t="s">
        <v>107</v>
      </c>
      <c r="C21" s="6" t="s">
        <v>107</v>
      </c>
      <c r="D21" s="6" t="s">
        <v>146</v>
      </c>
      <c r="F21" s="4"/>
      <c r="G21" s="4"/>
      <c r="H21" s="4">
        <v>1</v>
      </c>
      <c r="I21" s="4"/>
      <c r="J21" s="4"/>
      <c r="K21" s="4"/>
      <c r="L21" s="4"/>
      <c r="M21" s="11">
        <v>-1</v>
      </c>
      <c r="N21" s="11">
        <v>1</v>
      </c>
      <c r="O21" s="11"/>
      <c r="P21" s="11"/>
      <c r="Q21" s="11"/>
      <c r="R21" s="11"/>
      <c r="S21" s="11">
        <v>-1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>
        <v>-1</v>
      </c>
      <c r="AF21" s="11"/>
      <c r="AG21" s="11"/>
      <c r="AH21" s="11"/>
      <c r="AI21" s="16" t="str">
        <f t="shared" si="0"/>
        <v>pdh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>
        <v>2</v>
      </c>
    </row>
    <row r="22" spans="1:50" x14ac:dyDescent="0.45">
      <c r="A22" t="s">
        <v>16</v>
      </c>
      <c r="B22" s="7" t="s">
        <v>96</v>
      </c>
      <c r="C22" s="7" t="s">
        <v>16</v>
      </c>
      <c r="D22" s="7" t="s">
        <v>45</v>
      </c>
      <c r="F22" s="4"/>
      <c r="G22" s="4"/>
      <c r="H22" s="4"/>
      <c r="I22" s="4">
        <v>0.5</v>
      </c>
      <c r="J22" s="4">
        <v>0.5</v>
      </c>
      <c r="K22" s="4">
        <v>-0.5</v>
      </c>
      <c r="L22" s="4">
        <v>-0.5</v>
      </c>
      <c r="M22" s="11">
        <v>-1</v>
      </c>
      <c r="N22" s="11">
        <v>1</v>
      </c>
      <c r="O22" s="11"/>
      <c r="P22" s="11"/>
      <c r="Q22" s="11">
        <v>2</v>
      </c>
      <c r="R22" s="11">
        <v>-2</v>
      </c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6" t="str">
        <f t="shared" si="0"/>
        <v>rnf</v>
      </c>
      <c r="AJ22" s="1"/>
      <c r="AK22" s="1"/>
      <c r="AL22" s="1"/>
      <c r="AM22" s="1"/>
      <c r="AN22" s="1"/>
      <c r="AO22" s="1"/>
      <c r="AP22" s="1"/>
      <c r="AQ22" s="1">
        <v>2</v>
      </c>
      <c r="AR22" s="1"/>
      <c r="AS22" s="1"/>
      <c r="AT22" s="1"/>
      <c r="AV22" s="1">
        <v>2</v>
      </c>
    </row>
    <row r="23" spans="1:50" x14ac:dyDescent="0.45">
      <c r="A23" t="s">
        <v>12</v>
      </c>
      <c r="B23" s="7" t="s">
        <v>96</v>
      </c>
      <c r="C23" s="7" t="s">
        <v>50</v>
      </c>
      <c r="D23" s="7" t="s">
        <v>51</v>
      </c>
      <c r="F23" s="4"/>
      <c r="G23" s="4"/>
      <c r="H23" s="4"/>
      <c r="I23" s="4"/>
      <c r="J23" s="4"/>
      <c r="K23" s="4"/>
      <c r="L23" s="4"/>
      <c r="M23" s="11">
        <v>1</v>
      </c>
      <c r="N23" s="11">
        <v>-1</v>
      </c>
      <c r="O23" s="11"/>
      <c r="P23" s="11"/>
      <c r="Q23" s="11">
        <v>2</v>
      </c>
      <c r="R23" s="11">
        <v>-2</v>
      </c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>
        <v>2</v>
      </c>
      <c r="AI23" s="16" t="str">
        <f t="shared" si="0"/>
        <v>bif-hyd</v>
      </c>
      <c r="AJ23" s="1"/>
      <c r="AK23" s="1"/>
      <c r="AL23" s="1"/>
      <c r="AM23" s="1">
        <v>-1</v>
      </c>
      <c r="AN23" s="1"/>
      <c r="AO23" s="1"/>
      <c r="AP23" s="1"/>
      <c r="AQ23" s="1"/>
      <c r="AR23" s="1">
        <v>-2</v>
      </c>
      <c r="AS23" s="1"/>
      <c r="AT23" s="1"/>
      <c r="AW23" s="1">
        <v>-2</v>
      </c>
    </row>
    <row r="24" spans="1:50" x14ac:dyDescent="0.45">
      <c r="A24" t="s">
        <v>11</v>
      </c>
      <c r="B24" s="7" t="s">
        <v>96</v>
      </c>
      <c r="C24" s="7" t="s">
        <v>52</v>
      </c>
      <c r="D24" s="7" t="s">
        <v>53</v>
      </c>
      <c r="F24" s="4"/>
      <c r="G24" s="4"/>
      <c r="H24" s="4"/>
      <c r="I24" s="4"/>
      <c r="J24" s="4"/>
      <c r="K24" s="4"/>
      <c r="L24" s="4"/>
      <c r="M24" s="11"/>
      <c r="N24" s="11"/>
      <c r="O24" s="11"/>
      <c r="P24" s="11"/>
      <c r="Q24" s="11">
        <v>2</v>
      </c>
      <c r="R24" s="11">
        <v>-2</v>
      </c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>
        <v>1</v>
      </c>
      <c r="AI24" s="16" t="str">
        <f t="shared" si="0"/>
        <v>hyd</v>
      </c>
      <c r="AJ24" s="1"/>
      <c r="AK24" s="1"/>
      <c r="AL24" s="1"/>
      <c r="AM24" s="1">
        <v>2</v>
      </c>
      <c r="AN24" s="1"/>
      <c r="AO24" s="1"/>
      <c r="AP24" s="1"/>
      <c r="AQ24" s="1"/>
      <c r="AR24" s="1">
        <v>4</v>
      </c>
      <c r="AS24" s="1"/>
      <c r="AT24" s="1"/>
      <c r="AW24" s="1">
        <v>4</v>
      </c>
    </row>
    <row r="25" spans="1:50" x14ac:dyDescent="0.45">
      <c r="A25" t="s">
        <v>13</v>
      </c>
      <c r="B25" s="7" t="s">
        <v>96</v>
      </c>
      <c r="C25" s="7" t="s">
        <v>54</v>
      </c>
      <c r="D25" s="7" t="s">
        <v>55</v>
      </c>
      <c r="F25" s="4"/>
      <c r="G25" s="4"/>
      <c r="H25" s="4"/>
      <c r="I25" s="4"/>
      <c r="J25" s="4"/>
      <c r="K25" s="4"/>
      <c r="L25" s="4"/>
      <c r="M25" s="11">
        <v>1</v>
      </c>
      <c r="N25" s="11">
        <v>-1</v>
      </c>
      <c r="O25" s="11">
        <v>-2</v>
      </c>
      <c r="P25" s="11">
        <v>2</v>
      </c>
      <c r="Q25" s="11">
        <v>2</v>
      </c>
      <c r="R25" s="11">
        <v>-2</v>
      </c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6" t="str">
        <f t="shared" si="0"/>
        <v>nfn</v>
      </c>
      <c r="AJ25" s="1">
        <v>2</v>
      </c>
      <c r="AK25" s="1">
        <v>2</v>
      </c>
      <c r="AL25" s="1"/>
      <c r="AM25" s="1">
        <v>1</v>
      </c>
      <c r="AN25" s="1"/>
      <c r="AO25" s="1"/>
      <c r="AP25" s="1"/>
      <c r="AQ25" s="1"/>
      <c r="AR25" s="1"/>
      <c r="AS25" s="1"/>
      <c r="AT25" s="1"/>
    </row>
    <row r="26" spans="1:50" x14ac:dyDescent="0.45">
      <c r="B26" s="7" t="s">
        <v>96</v>
      </c>
      <c r="C26" s="7" t="s">
        <v>60</v>
      </c>
      <c r="D26" s="7" t="s">
        <v>67</v>
      </c>
      <c r="F26" s="4"/>
      <c r="G26" s="4"/>
      <c r="H26" s="4"/>
      <c r="I26" s="4"/>
      <c r="J26" s="4"/>
      <c r="K26" s="4"/>
      <c r="L26" s="4"/>
      <c r="M26" s="11">
        <v>-1</v>
      </c>
      <c r="N26" s="11">
        <v>1</v>
      </c>
      <c r="O26" s="11"/>
      <c r="P26" s="11"/>
      <c r="Q26" s="11">
        <v>2</v>
      </c>
      <c r="R26" s="11">
        <v>-2</v>
      </c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6" t="str">
        <f t="shared" si="0"/>
        <v>fnor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>
        <v>2</v>
      </c>
      <c r="AX26" s="1">
        <v>2</v>
      </c>
    </row>
    <row r="27" spans="1:50" x14ac:dyDescent="0.45">
      <c r="A27" t="s">
        <v>17</v>
      </c>
      <c r="B27" s="7" t="s">
        <v>96</v>
      </c>
      <c r="C27" s="7" t="s">
        <v>61</v>
      </c>
      <c r="D27" s="7" t="s">
        <v>66</v>
      </c>
      <c r="E27" s="1">
        <v>2</v>
      </c>
      <c r="F27" s="4"/>
      <c r="G27" s="4"/>
      <c r="H27" s="4"/>
      <c r="I27" s="4"/>
      <c r="J27" s="4"/>
      <c r="K27" s="4"/>
      <c r="L27" s="4"/>
      <c r="M27" s="11"/>
      <c r="N27" s="11"/>
      <c r="O27" s="11">
        <v>-1</v>
      </c>
      <c r="P27" s="11">
        <v>1</v>
      </c>
      <c r="Q27" s="11">
        <v>2</v>
      </c>
      <c r="R27" s="11">
        <v>-2</v>
      </c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6" t="str">
        <f t="shared" si="0"/>
        <v>fnorp</v>
      </c>
      <c r="AJ27" s="1"/>
      <c r="AK27" s="1"/>
      <c r="AL27" s="1"/>
      <c r="AM27" s="1"/>
      <c r="AN27" s="1">
        <v>2</v>
      </c>
      <c r="AO27" s="1">
        <v>2</v>
      </c>
      <c r="AP27" s="1"/>
      <c r="AQ27" s="1"/>
      <c r="AR27" s="1"/>
      <c r="AS27" s="1"/>
      <c r="AT27" s="1"/>
    </row>
    <row r="28" spans="1:50" x14ac:dyDescent="0.45">
      <c r="B28" s="7" t="s">
        <v>96</v>
      </c>
      <c r="C28" s="7" t="s">
        <v>62</v>
      </c>
      <c r="D28" s="7" t="s">
        <v>63</v>
      </c>
      <c r="F28" s="4"/>
      <c r="G28" s="4"/>
      <c r="H28" s="4"/>
      <c r="I28" s="4"/>
      <c r="J28" s="4"/>
      <c r="K28" s="4"/>
      <c r="L28" s="4"/>
      <c r="M28" s="11">
        <v>1</v>
      </c>
      <c r="N28" s="11">
        <v>-1</v>
      </c>
      <c r="O28" s="11">
        <v>-1</v>
      </c>
      <c r="P28" s="11">
        <v>1</v>
      </c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6" t="str">
        <f t="shared" si="0"/>
        <v>xhyd</v>
      </c>
      <c r="AJ28" s="1"/>
      <c r="AK28" s="1"/>
      <c r="AL28" s="1"/>
      <c r="AM28" s="1"/>
      <c r="AN28" s="1"/>
      <c r="AO28" s="1"/>
      <c r="AP28" s="1"/>
      <c r="AQ28" s="1"/>
      <c r="AR28" s="1"/>
      <c r="AS28" s="1">
        <v>2</v>
      </c>
      <c r="AT28" s="1"/>
      <c r="AX28" s="1">
        <v>2</v>
      </c>
    </row>
    <row r="29" spans="1:50" x14ac:dyDescent="0.45">
      <c r="A29" t="s">
        <v>68</v>
      </c>
      <c r="B29" s="8" t="s">
        <v>97</v>
      </c>
      <c r="C29" s="8" t="s">
        <v>46</v>
      </c>
      <c r="D29" s="8" t="s">
        <v>47</v>
      </c>
      <c r="F29" s="4"/>
      <c r="G29" s="4"/>
      <c r="H29" s="4"/>
      <c r="I29" s="4"/>
      <c r="J29" s="4"/>
      <c r="K29" s="4"/>
      <c r="L29" s="4"/>
      <c r="M29" s="11">
        <v>1</v>
      </c>
      <c r="N29" s="11">
        <v>-1</v>
      </c>
      <c r="O29" s="11"/>
      <c r="P29" s="11"/>
      <c r="Q29" s="11"/>
      <c r="R29" s="11"/>
      <c r="S29" s="11">
        <v>1</v>
      </c>
      <c r="T29" s="11">
        <v>-1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>
        <v>1</v>
      </c>
      <c r="AH29" s="11"/>
      <c r="AI29" s="16" t="str">
        <f t="shared" si="0"/>
        <v>aldh</v>
      </c>
      <c r="AJ29" s="1"/>
      <c r="AK29" s="1"/>
      <c r="AL29" s="1">
        <v>2</v>
      </c>
      <c r="AM29" s="1">
        <v>2</v>
      </c>
      <c r="AN29" s="1">
        <v>2</v>
      </c>
      <c r="AO29" s="1"/>
      <c r="AP29" s="1"/>
      <c r="AQ29" s="1">
        <v>2</v>
      </c>
      <c r="AR29" s="1"/>
      <c r="AS29" s="1"/>
      <c r="AT29" s="1">
        <v>2</v>
      </c>
      <c r="AU29" s="1">
        <v>2</v>
      </c>
      <c r="AV29" s="1">
        <v>2</v>
      </c>
      <c r="AW29" s="1">
        <v>2</v>
      </c>
      <c r="AX29" s="1">
        <v>2</v>
      </c>
    </row>
    <row r="30" spans="1:50" x14ac:dyDescent="0.45">
      <c r="A30" t="s">
        <v>69</v>
      </c>
      <c r="B30" s="8" t="s">
        <v>97</v>
      </c>
      <c r="C30" s="8" t="s">
        <v>56</v>
      </c>
      <c r="D30" s="8" t="s">
        <v>59</v>
      </c>
      <c r="E30" s="1">
        <v>2</v>
      </c>
      <c r="F30" s="4"/>
      <c r="G30" s="4"/>
      <c r="H30" s="4"/>
      <c r="I30" s="4"/>
      <c r="J30" s="4"/>
      <c r="K30" s="4"/>
      <c r="L30" s="4"/>
      <c r="M30" s="11"/>
      <c r="N30" s="11"/>
      <c r="O30" s="11">
        <v>1</v>
      </c>
      <c r="P30" s="11">
        <v>-1</v>
      </c>
      <c r="Q30" s="11"/>
      <c r="R30" s="11"/>
      <c r="S30" s="11">
        <v>1</v>
      </c>
      <c r="T30" s="11">
        <v>-1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>
        <v>1</v>
      </c>
      <c r="AH30" s="11"/>
      <c r="AI30" s="16" t="str">
        <f t="shared" si="0"/>
        <v>aldhp</v>
      </c>
      <c r="AJ30" s="1">
        <v>2</v>
      </c>
      <c r="AK30" s="1"/>
      <c r="AL30" s="1"/>
      <c r="AM30" s="1"/>
      <c r="AN30" s="1"/>
      <c r="AO30" s="1">
        <v>2</v>
      </c>
      <c r="AP30" s="1"/>
      <c r="AQ30" s="1"/>
      <c r="AR30" s="1"/>
      <c r="AS30" s="1"/>
      <c r="AT30" s="1"/>
    </row>
    <row r="31" spans="1:50" x14ac:dyDescent="0.45">
      <c r="A31" t="s">
        <v>68</v>
      </c>
      <c r="B31" s="8" t="s">
        <v>97</v>
      </c>
      <c r="C31" s="8" t="s">
        <v>57</v>
      </c>
      <c r="D31" s="8" t="s">
        <v>58</v>
      </c>
      <c r="F31" s="4"/>
      <c r="G31" s="4">
        <v>1</v>
      </c>
      <c r="H31" s="4"/>
      <c r="I31" s="4"/>
      <c r="J31" s="4"/>
      <c r="K31" s="4"/>
      <c r="L31" s="4"/>
      <c r="M31" s="11">
        <v>1</v>
      </c>
      <c r="N31" s="11">
        <v>-1</v>
      </c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>
        <v>-1</v>
      </c>
      <c r="AH31" s="11"/>
      <c r="AI31" s="16" t="str">
        <f t="shared" si="0"/>
        <v>adh</v>
      </c>
      <c r="AJ31" s="1"/>
      <c r="AK31" s="1"/>
      <c r="AL31" s="1"/>
      <c r="AM31" s="1"/>
      <c r="AN31" s="1"/>
      <c r="AO31" s="1"/>
      <c r="AP31" s="1">
        <v>2</v>
      </c>
      <c r="AQ31" s="1"/>
      <c r="AR31" s="1"/>
      <c r="AS31" s="1"/>
      <c r="AT31" s="1">
        <v>2</v>
      </c>
      <c r="AU31" s="1">
        <v>2</v>
      </c>
      <c r="AV31" s="1">
        <v>2</v>
      </c>
      <c r="AW31" s="1">
        <v>2</v>
      </c>
    </row>
    <row r="32" spans="1:50" x14ac:dyDescent="0.45">
      <c r="A32" t="s">
        <v>70</v>
      </c>
      <c r="B32" s="8" t="s">
        <v>97</v>
      </c>
      <c r="C32" s="8" t="s">
        <v>48</v>
      </c>
      <c r="D32" s="8" t="s">
        <v>49</v>
      </c>
      <c r="E32" s="1">
        <v>2</v>
      </c>
      <c r="F32" s="4"/>
      <c r="G32" s="4">
        <v>1</v>
      </c>
      <c r="H32" s="4"/>
      <c r="I32" s="4"/>
      <c r="J32" s="4"/>
      <c r="K32" s="4"/>
      <c r="L32" s="4"/>
      <c r="M32" s="11"/>
      <c r="N32" s="11"/>
      <c r="O32" s="11">
        <v>1</v>
      </c>
      <c r="P32" s="11">
        <v>-1</v>
      </c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>
        <v>-1</v>
      </c>
      <c r="AH32" s="11"/>
      <c r="AI32" s="16" t="str">
        <f t="shared" si="0"/>
        <v>adhp</v>
      </c>
      <c r="AJ32" s="1">
        <v>2</v>
      </c>
      <c r="AK32" s="1"/>
      <c r="AL32" s="1"/>
      <c r="AM32" s="1">
        <v>2</v>
      </c>
      <c r="AN32" s="1">
        <v>2</v>
      </c>
      <c r="AO32" s="1">
        <v>2</v>
      </c>
      <c r="AP32" s="1"/>
      <c r="AQ32" s="1">
        <v>2</v>
      </c>
      <c r="AR32" s="1"/>
      <c r="AS32" s="1">
        <v>2</v>
      </c>
      <c r="AT32" s="1"/>
      <c r="AX32" s="1">
        <v>2</v>
      </c>
    </row>
    <row r="33" spans="1:46" x14ac:dyDescent="0.45">
      <c r="B33" s="8" t="s">
        <v>97</v>
      </c>
      <c r="C33" s="8" t="s">
        <v>65</v>
      </c>
      <c r="D33" s="8" t="s">
        <v>64</v>
      </c>
      <c r="F33" s="4"/>
      <c r="G33" s="4">
        <v>1</v>
      </c>
      <c r="H33" s="4"/>
      <c r="I33" s="4"/>
      <c r="J33" s="4"/>
      <c r="K33" s="4"/>
      <c r="L33" s="4"/>
      <c r="M33" s="11"/>
      <c r="N33" s="11"/>
      <c r="O33" s="11"/>
      <c r="P33" s="11"/>
      <c r="Q33" s="11">
        <v>2</v>
      </c>
      <c r="R33" s="11">
        <v>-2</v>
      </c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>
        <v>-1</v>
      </c>
      <c r="AH33" s="11"/>
      <c r="AI33" s="16" t="str">
        <f t="shared" si="0"/>
        <v>adhfd</v>
      </c>
      <c r="AJ33" s="1"/>
      <c r="AK33" s="1"/>
      <c r="AL33" s="1">
        <v>2</v>
      </c>
      <c r="AM33" s="1"/>
      <c r="AN33" s="1"/>
      <c r="AO33" s="1"/>
      <c r="AP33" s="1"/>
      <c r="AQ33" s="1"/>
      <c r="AR33" s="1"/>
      <c r="AS33" s="1"/>
      <c r="AT33" s="1"/>
    </row>
    <row r="34" spans="1:46" x14ac:dyDescent="0.45">
      <c r="A34" t="s">
        <v>180</v>
      </c>
      <c r="B34" s="8" t="s">
        <v>97</v>
      </c>
      <c r="C34" s="8" t="s">
        <v>181</v>
      </c>
      <c r="D34" s="8" t="s">
        <v>182</v>
      </c>
      <c r="F34" s="4"/>
      <c r="G34" s="4">
        <v>1</v>
      </c>
      <c r="H34" s="4"/>
      <c r="I34" s="4"/>
      <c r="J34" s="4"/>
      <c r="K34" s="4"/>
      <c r="L34" s="4"/>
      <c r="M34" s="11">
        <v>2</v>
      </c>
      <c r="N34" s="11">
        <v>-2</v>
      </c>
      <c r="O34" s="11"/>
      <c r="P34" s="11"/>
      <c r="Q34" s="11"/>
      <c r="R34" s="11"/>
      <c r="S34" s="11">
        <v>1</v>
      </c>
      <c r="T34" s="11">
        <v>-1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6" t="str">
        <f t="shared" si="0"/>
        <v>aldh_adh</v>
      </c>
      <c r="AJ34" s="1"/>
      <c r="AK34" s="1"/>
      <c r="AL34" s="1"/>
      <c r="AM34" s="1"/>
      <c r="AN34" s="1"/>
      <c r="AO34" s="1"/>
      <c r="AP34" s="1"/>
      <c r="AQ34" s="1"/>
      <c r="AR34" s="1">
        <v>2</v>
      </c>
      <c r="AS34" s="1"/>
      <c r="AT34" s="1"/>
    </row>
    <row r="35" spans="1:46" x14ac:dyDescent="0.45">
      <c r="A35" t="s">
        <v>180</v>
      </c>
      <c r="B35" s="8" t="s">
        <v>97</v>
      </c>
      <c r="C35" s="8" t="s">
        <v>179</v>
      </c>
      <c r="D35" s="8" t="s">
        <v>183</v>
      </c>
      <c r="F35" s="4"/>
      <c r="G35" s="4">
        <v>1</v>
      </c>
      <c r="H35" s="4"/>
      <c r="I35" s="4"/>
      <c r="J35" s="4"/>
      <c r="K35" s="4"/>
      <c r="L35" s="4"/>
      <c r="M35" s="11"/>
      <c r="N35" s="11"/>
      <c r="O35" s="11">
        <v>2</v>
      </c>
      <c r="P35" s="11">
        <v>-2</v>
      </c>
      <c r="Q35" s="11"/>
      <c r="R35" s="11"/>
      <c r="S35" s="11">
        <v>1</v>
      </c>
      <c r="T35" s="11">
        <v>-1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6" t="str">
        <f t="shared" si="0"/>
        <v>aldhp_adhp</v>
      </c>
      <c r="AJ35" s="1"/>
      <c r="AK35" s="1">
        <v>2</v>
      </c>
      <c r="AL35" s="1"/>
      <c r="AM35" s="1"/>
      <c r="AN35" s="1"/>
      <c r="AO35" s="1"/>
      <c r="AP35" s="1"/>
      <c r="AQ35" s="1"/>
      <c r="AR35" s="1"/>
      <c r="AS35" s="1"/>
      <c r="AT35" s="1"/>
    </row>
  </sheetData>
  <conditionalFormatting sqref="AJ4:AX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6:AX35">
    <cfRule type="colorScale" priority="19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C5460-E4D4-4127-A9B9-6F55DA9CD2DB}">
  <dimension ref="A1:F31"/>
  <sheetViews>
    <sheetView topLeftCell="C1" workbookViewId="0">
      <selection activeCell="D35" sqref="D35"/>
    </sheetView>
  </sheetViews>
  <sheetFormatPr defaultRowHeight="14.25" x14ac:dyDescent="0.45"/>
  <cols>
    <col min="1" max="1" width="12.3984375" customWidth="1"/>
    <col min="2" max="2" width="27.265625" customWidth="1"/>
    <col min="3" max="3" width="10.9296875" bestFit="1" customWidth="1"/>
    <col min="6" max="6" width="99.73046875" customWidth="1"/>
  </cols>
  <sheetData>
    <row r="1" spans="1:6" x14ac:dyDescent="0.45">
      <c r="A1" s="3"/>
      <c r="B1" s="3"/>
      <c r="C1" s="3"/>
      <c r="D1" s="3" t="s">
        <v>143</v>
      </c>
      <c r="E1" s="3"/>
      <c r="F1" s="3"/>
    </row>
    <row r="2" spans="1:6" x14ac:dyDescent="0.45">
      <c r="A2" s="3" t="s">
        <v>141</v>
      </c>
      <c r="B2" s="3" t="s">
        <v>155</v>
      </c>
      <c r="C2" s="3" t="s">
        <v>152</v>
      </c>
      <c r="D2" s="17" t="s">
        <v>153</v>
      </c>
      <c r="E2" s="17" t="s">
        <v>154</v>
      </c>
      <c r="F2" s="3" t="s">
        <v>144</v>
      </c>
    </row>
    <row r="3" spans="1:6" x14ac:dyDescent="0.45">
      <c r="A3" t="s">
        <v>71</v>
      </c>
      <c r="B3" t="s">
        <v>1</v>
      </c>
      <c r="C3" t="s">
        <v>130</v>
      </c>
      <c r="D3">
        <v>10</v>
      </c>
      <c r="E3">
        <v>10</v>
      </c>
    </row>
    <row r="4" spans="1:6" x14ac:dyDescent="0.45">
      <c r="A4" t="s">
        <v>72</v>
      </c>
      <c r="B4" t="s">
        <v>156</v>
      </c>
      <c r="C4" t="s">
        <v>125</v>
      </c>
      <c r="D4">
        <v>1E-3</v>
      </c>
      <c r="E4">
        <v>10</v>
      </c>
    </row>
    <row r="5" spans="1:6" x14ac:dyDescent="0.45">
      <c r="A5" t="s">
        <v>73</v>
      </c>
      <c r="B5" t="s">
        <v>157</v>
      </c>
      <c r="C5" t="s">
        <v>135</v>
      </c>
      <c r="D5">
        <v>1E-3</v>
      </c>
      <c r="E5">
        <v>10</v>
      </c>
    </row>
    <row r="6" spans="1:6" x14ac:dyDescent="0.45">
      <c r="A6" t="s">
        <v>74</v>
      </c>
      <c r="B6" t="s">
        <v>158</v>
      </c>
      <c r="C6" t="s">
        <v>131</v>
      </c>
      <c r="D6">
        <v>1E-3</v>
      </c>
      <c r="E6">
        <v>10</v>
      </c>
    </row>
    <row r="7" spans="1:6" x14ac:dyDescent="0.45">
      <c r="A7" t="s">
        <v>75</v>
      </c>
      <c r="B7" t="s">
        <v>159</v>
      </c>
      <c r="C7" t="s">
        <v>129</v>
      </c>
      <c r="D7">
        <v>1E-3</v>
      </c>
      <c r="E7">
        <v>10</v>
      </c>
    </row>
    <row r="8" spans="1:6" x14ac:dyDescent="0.45">
      <c r="A8" t="s">
        <v>76</v>
      </c>
      <c r="B8" t="s">
        <v>160</v>
      </c>
      <c r="C8" t="s">
        <v>132</v>
      </c>
      <c r="D8">
        <v>1E-3</v>
      </c>
      <c r="E8">
        <v>10</v>
      </c>
    </row>
    <row r="9" spans="1:6" x14ac:dyDescent="0.45">
      <c r="A9" t="s">
        <v>78</v>
      </c>
      <c r="B9" t="s">
        <v>161</v>
      </c>
      <c r="C9" t="s">
        <v>126</v>
      </c>
      <c r="D9">
        <v>1E-3</v>
      </c>
      <c r="E9">
        <v>10</v>
      </c>
    </row>
    <row r="10" spans="1:6" x14ac:dyDescent="0.45">
      <c r="A10" t="s">
        <v>80</v>
      </c>
      <c r="B10" t="s">
        <v>162</v>
      </c>
      <c r="C10" t="s">
        <v>134</v>
      </c>
      <c r="D10">
        <v>1E-3</v>
      </c>
      <c r="E10">
        <v>10</v>
      </c>
    </row>
    <row r="11" spans="1:6" x14ac:dyDescent="0.45">
      <c r="A11" t="s">
        <v>81</v>
      </c>
      <c r="B11" t="s">
        <v>163</v>
      </c>
      <c r="C11" t="s">
        <v>136</v>
      </c>
      <c r="D11">
        <v>1E-3</v>
      </c>
      <c r="E11">
        <v>10</v>
      </c>
    </row>
    <row r="12" spans="1:6" x14ac:dyDescent="0.45">
      <c r="A12" t="s">
        <v>82</v>
      </c>
      <c r="B12" t="s">
        <v>164</v>
      </c>
      <c r="C12" t="s">
        <v>133</v>
      </c>
      <c r="D12">
        <v>1E-3</v>
      </c>
      <c r="E12">
        <v>10</v>
      </c>
    </row>
    <row r="13" spans="1:6" x14ac:dyDescent="0.45">
      <c r="A13" t="s">
        <v>87</v>
      </c>
      <c r="B13" t="s">
        <v>165</v>
      </c>
      <c r="C13" t="s">
        <v>123</v>
      </c>
      <c r="D13">
        <v>1E-3</v>
      </c>
      <c r="E13">
        <v>10</v>
      </c>
    </row>
    <row r="14" spans="1:6" x14ac:dyDescent="0.45">
      <c r="A14" t="s">
        <v>88</v>
      </c>
      <c r="B14" t="s">
        <v>166</v>
      </c>
      <c r="C14" t="s">
        <v>113</v>
      </c>
      <c r="D14">
        <v>1E-3</v>
      </c>
      <c r="E14">
        <v>10</v>
      </c>
    </row>
    <row r="15" spans="1:6" x14ac:dyDescent="0.45">
      <c r="A15" t="s">
        <v>86</v>
      </c>
      <c r="B15" t="s">
        <v>2</v>
      </c>
      <c r="C15" t="s">
        <v>116</v>
      </c>
      <c r="D15">
        <v>1E-3</v>
      </c>
      <c r="E15">
        <v>10</v>
      </c>
    </row>
    <row r="16" spans="1:6" x14ac:dyDescent="0.45">
      <c r="A16" t="s">
        <v>92</v>
      </c>
      <c r="B16" t="s">
        <v>167</v>
      </c>
      <c r="C16" t="s">
        <v>114</v>
      </c>
      <c r="D16">
        <v>1E-3</v>
      </c>
      <c r="E16">
        <v>10</v>
      </c>
      <c r="F16" t="s">
        <v>190</v>
      </c>
    </row>
    <row r="17" spans="1:6" x14ac:dyDescent="0.45">
      <c r="A17" t="s">
        <v>90</v>
      </c>
      <c r="B17" t="s">
        <v>90</v>
      </c>
      <c r="C17" t="s">
        <v>127</v>
      </c>
      <c r="D17">
        <v>1</v>
      </c>
      <c r="E17">
        <v>1</v>
      </c>
    </row>
    <row r="18" spans="1:6" x14ac:dyDescent="0.45">
      <c r="A18" t="s">
        <v>7</v>
      </c>
      <c r="B18" t="s">
        <v>168</v>
      </c>
      <c r="C18" t="s">
        <v>139</v>
      </c>
      <c r="D18">
        <v>1E-3</v>
      </c>
      <c r="E18">
        <v>10</v>
      </c>
    </row>
    <row r="19" spans="1:6" x14ac:dyDescent="0.45">
      <c r="A19" t="s">
        <v>8</v>
      </c>
      <c r="B19" t="s">
        <v>169</v>
      </c>
      <c r="C19" t="s">
        <v>140</v>
      </c>
      <c r="D19">
        <v>2000</v>
      </c>
      <c r="E19">
        <v>2000</v>
      </c>
    </row>
    <row r="20" spans="1:6" x14ac:dyDescent="0.45">
      <c r="A20" t="s">
        <v>4</v>
      </c>
      <c r="B20" t="s">
        <v>4</v>
      </c>
      <c r="C20" t="s">
        <v>118</v>
      </c>
      <c r="D20">
        <v>1E-3</v>
      </c>
      <c r="E20">
        <v>10</v>
      </c>
    </row>
    <row r="21" spans="1:6" x14ac:dyDescent="0.45">
      <c r="A21" t="s">
        <v>89</v>
      </c>
      <c r="B21" t="s">
        <v>89</v>
      </c>
      <c r="C21" t="s">
        <v>117</v>
      </c>
      <c r="D21">
        <v>0.1</v>
      </c>
      <c r="E21">
        <v>0.1</v>
      </c>
    </row>
    <row r="22" spans="1:6" x14ac:dyDescent="0.45">
      <c r="A22" t="s">
        <v>3</v>
      </c>
      <c r="B22" t="s">
        <v>3</v>
      </c>
      <c r="C22" t="s">
        <v>119</v>
      </c>
      <c r="D22">
        <v>1E-3</v>
      </c>
      <c r="E22">
        <v>10</v>
      </c>
    </row>
    <row r="23" spans="1:6" x14ac:dyDescent="0.45">
      <c r="A23" t="s">
        <v>77</v>
      </c>
      <c r="B23" t="s">
        <v>77</v>
      </c>
      <c r="C23" t="s">
        <v>120</v>
      </c>
      <c r="D23">
        <v>0.1</v>
      </c>
      <c r="E23">
        <v>0.1</v>
      </c>
    </row>
    <row r="24" spans="1:6" x14ac:dyDescent="0.45">
      <c r="A24" t="s">
        <v>5</v>
      </c>
      <c r="B24" t="s">
        <v>170</v>
      </c>
      <c r="C24" t="s">
        <v>138</v>
      </c>
      <c r="D24">
        <v>1E-3</v>
      </c>
      <c r="E24">
        <v>10</v>
      </c>
    </row>
    <row r="25" spans="1:6" x14ac:dyDescent="0.45">
      <c r="A25" t="s">
        <v>91</v>
      </c>
      <c r="B25" t="s">
        <v>171</v>
      </c>
      <c r="C25" t="s">
        <v>137</v>
      </c>
      <c r="D25">
        <v>0.1</v>
      </c>
      <c r="E25">
        <v>0.1</v>
      </c>
    </row>
    <row r="26" spans="1:6" x14ac:dyDescent="0.45">
      <c r="A26" t="s">
        <v>15</v>
      </c>
      <c r="B26" t="s">
        <v>15</v>
      </c>
      <c r="C26" t="s">
        <v>121</v>
      </c>
      <c r="D26">
        <v>0.1</v>
      </c>
      <c r="E26">
        <v>10</v>
      </c>
      <c r="F26" t="s">
        <v>186</v>
      </c>
    </row>
    <row r="27" spans="1:6" x14ac:dyDescent="0.45">
      <c r="A27" t="s">
        <v>14</v>
      </c>
      <c r="B27" t="s">
        <v>14</v>
      </c>
      <c r="C27" t="s">
        <v>124</v>
      </c>
      <c r="D27">
        <v>0.1</v>
      </c>
      <c r="E27">
        <v>0.1</v>
      </c>
    </row>
    <row r="28" spans="1:6" x14ac:dyDescent="0.45">
      <c r="A28" t="s">
        <v>79</v>
      </c>
      <c r="B28" t="s">
        <v>172</v>
      </c>
      <c r="C28" t="s">
        <v>115</v>
      </c>
      <c r="D28">
        <v>10</v>
      </c>
      <c r="E28">
        <v>10</v>
      </c>
    </row>
    <row r="29" spans="1:6" x14ac:dyDescent="0.45">
      <c r="A29" t="s">
        <v>83</v>
      </c>
      <c r="B29" t="s">
        <v>173</v>
      </c>
      <c r="C29" t="s">
        <v>122</v>
      </c>
      <c r="D29">
        <v>55000</v>
      </c>
      <c r="E29">
        <v>55000</v>
      </c>
      <c r="F29" t="s">
        <v>145</v>
      </c>
    </row>
    <row r="30" spans="1:6" x14ac:dyDescent="0.45">
      <c r="A30" t="s">
        <v>9</v>
      </c>
      <c r="B30" t="s">
        <v>174</v>
      </c>
      <c r="C30" t="s">
        <v>142</v>
      </c>
      <c r="D30">
        <v>0.01</v>
      </c>
      <c r="E30">
        <v>0.01</v>
      </c>
      <c r="F30" t="s">
        <v>177</v>
      </c>
    </row>
    <row r="31" spans="1:6" x14ac:dyDescent="0.45">
      <c r="A31" t="s">
        <v>6</v>
      </c>
      <c r="B31" t="s">
        <v>175</v>
      </c>
      <c r="C31" t="s">
        <v>128</v>
      </c>
      <c r="D31">
        <v>1E-3</v>
      </c>
      <c r="E31">
        <v>1E-3</v>
      </c>
      <c r="F31" t="s">
        <v>191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Reaction</vt:lpstr>
      <vt:lpstr>Compound</vt:lpstr>
    </vt:vector>
  </TitlesOfParts>
  <Company>Dartmouth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G. Olson</dc:creator>
  <cp:lastModifiedBy>Daniel G. Olson</cp:lastModifiedBy>
  <dcterms:created xsi:type="dcterms:W3CDTF">2023-05-12T13:03:22Z</dcterms:created>
  <dcterms:modified xsi:type="dcterms:W3CDTF">2025-03-05T20:10:05Z</dcterms:modified>
</cp:coreProperties>
</file>